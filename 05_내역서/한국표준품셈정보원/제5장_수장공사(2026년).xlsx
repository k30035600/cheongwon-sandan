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3.건축부문(2026년)\"/>
    </mc:Choice>
  </mc:AlternateContent>
  <xr:revisionPtr revIDLastSave="0" documentId="13_ncr:1_{276655F5-59BF-4714-9661-F900CA764A4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수장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4" i="6" l="1"/>
  <c r="G283" i="6"/>
  <c r="G280" i="6" s="1"/>
  <c r="I82" i="6"/>
  <c r="I81" i="6"/>
  <c r="I78" i="6" s="1"/>
  <c r="I474" i="6"/>
  <c r="I475" i="6" s="1"/>
  <c r="I477" i="6" s="1"/>
  <c r="G474" i="6"/>
  <c r="G475" i="6" s="1"/>
  <c r="G477" i="6" s="1"/>
  <c r="G285" i="6" l="1"/>
  <c r="G281" i="6"/>
  <c r="G287" i="6" s="1"/>
  <c r="G288" i="6" s="1"/>
  <c r="K81" i="6"/>
  <c r="K82" i="6"/>
  <c r="K78" i="6" s="1"/>
  <c r="K79" i="6" s="1"/>
  <c r="I79" i="6"/>
  <c r="I83" i="6"/>
  <c r="G81" i="6"/>
  <c r="G82" i="6"/>
  <c r="I509" i="6"/>
  <c r="G509" i="6"/>
  <c r="I508" i="6"/>
  <c r="G508" i="6"/>
  <c r="I507" i="6"/>
  <c r="G507" i="6"/>
  <c r="I506" i="6"/>
  <c r="G506" i="6"/>
  <c r="I505" i="6"/>
  <c r="G505" i="6"/>
  <c r="G497" i="6"/>
  <c r="G496" i="6"/>
  <c r="I488" i="6"/>
  <c r="I487" i="6"/>
  <c r="I486" i="6"/>
  <c r="G465" i="6"/>
  <c r="G456" i="6"/>
  <c r="G455" i="6"/>
  <c r="M445" i="6"/>
  <c r="G435" i="6"/>
  <c r="G436" i="6" s="1"/>
  <c r="G438" i="6" s="1"/>
  <c r="M425" i="6"/>
  <c r="G411" i="6"/>
  <c r="M400" i="6"/>
  <c r="G390" i="6"/>
  <c r="G389" i="6"/>
  <c r="G388" i="6"/>
  <c r="G368" i="6"/>
  <c r="G369" i="6" s="1"/>
  <c r="G371" i="6" s="1"/>
  <c r="M359" i="6"/>
  <c r="M358" i="6"/>
  <c r="G349" i="6"/>
  <c r="G338" i="6"/>
  <c r="G337" i="6"/>
  <c r="M327" i="6"/>
  <c r="G318" i="6"/>
  <c r="G307" i="6"/>
  <c r="G306" i="6"/>
  <c r="G297" i="6"/>
  <c r="M296" i="6"/>
  <c r="I272" i="6"/>
  <c r="G272" i="6"/>
  <c r="I271" i="6"/>
  <c r="G271" i="6"/>
  <c r="I270" i="6"/>
  <c r="G270" i="6"/>
  <c r="I261" i="6"/>
  <c r="G251" i="6"/>
  <c r="G250" i="6"/>
  <c r="K239" i="6"/>
  <c r="I239" i="6"/>
  <c r="G239" i="6"/>
  <c r="K238" i="6"/>
  <c r="I238" i="6"/>
  <c r="G238" i="6"/>
  <c r="K237" i="6"/>
  <c r="I237" i="6"/>
  <c r="G237" i="6"/>
  <c r="K236" i="6"/>
  <c r="I236" i="6"/>
  <c r="G236" i="6"/>
  <c r="K235" i="6"/>
  <c r="I235" i="6"/>
  <c r="G235" i="6"/>
  <c r="K226" i="6"/>
  <c r="K225" i="6"/>
  <c r="K224" i="6"/>
  <c r="G212" i="6"/>
  <c r="G211" i="6"/>
  <c r="G210" i="6"/>
  <c r="G201" i="6"/>
  <c r="G200" i="6"/>
  <c r="G188" i="6"/>
  <c r="G189" i="6" s="1"/>
  <c r="G191" i="6" s="1"/>
  <c r="G192" i="6" s="1"/>
  <c r="G179" i="6"/>
  <c r="G180" i="6" s="1"/>
  <c r="G174" i="6"/>
  <c r="I170" i="6"/>
  <c r="G161" i="6"/>
  <c r="G162" i="6" s="1"/>
  <c r="G164" i="6" s="1"/>
  <c r="G152" i="6"/>
  <c r="G151" i="6"/>
  <c r="K123" i="6"/>
  <c r="I110" i="6"/>
  <c r="I109" i="6"/>
  <c r="G96" i="6"/>
  <c r="G95" i="6"/>
  <c r="G67" i="6"/>
  <c r="G54" i="6"/>
  <c r="G53" i="6"/>
  <c r="G42" i="6"/>
  <c r="G41" i="6"/>
  <c r="G40" i="6"/>
  <c r="G31" i="6"/>
  <c r="G30" i="6"/>
  <c r="K19" i="6"/>
  <c r="K20" i="6" s="1"/>
  <c r="K22" i="6" s="1"/>
  <c r="I19" i="6"/>
  <c r="I20" i="6" s="1"/>
  <c r="I22" i="6" s="1"/>
  <c r="G19" i="6"/>
  <c r="G20" i="6" s="1"/>
  <c r="G22" i="6" s="1"/>
  <c r="K8" i="6"/>
  <c r="G457" i="6" l="1"/>
  <c r="G459" i="6" s="1"/>
  <c r="K83" i="6"/>
  <c r="K85" i="6" s="1"/>
  <c r="K86" i="6" s="1"/>
  <c r="G78" i="6"/>
  <c r="G79" i="6" s="1"/>
  <c r="G83" i="6"/>
  <c r="I85" i="6"/>
  <c r="I86" i="6" s="1"/>
  <c r="G252" i="6"/>
  <c r="G339" i="6"/>
  <c r="G341" i="6" s="1"/>
  <c r="I273" i="6"/>
  <c r="I275" i="6" s="1"/>
  <c r="I240" i="6"/>
  <c r="I242" i="6" s="1"/>
  <c r="G425" i="6"/>
  <c r="G308" i="6"/>
  <c r="G310" i="6" s="1"/>
  <c r="I425" i="6"/>
  <c r="G213" i="6"/>
  <c r="G215" i="6" s="1"/>
  <c r="G55" i="6"/>
  <c r="G273" i="6"/>
  <c r="G275" i="6" s="1"/>
  <c r="G391" i="6"/>
  <c r="G393" i="6" s="1"/>
  <c r="G510" i="6"/>
  <c r="G512" i="6" s="1"/>
  <c r="I465" i="6"/>
  <c r="G110" i="6"/>
  <c r="K486" i="6"/>
  <c r="G400" i="6"/>
  <c r="I224" i="6"/>
  <c r="K240" i="6"/>
  <c r="K242" i="6" s="1"/>
  <c r="G358" i="6"/>
  <c r="I400" i="6"/>
  <c r="I225" i="6"/>
  <c r="I67" i="6"/>
  <c r="G498" i="6"/>
  <c r="G500" i="6" s="1"/>
  <c r="I510" i="6"/>
  <c r="I512" i="6" s="1"/>
  <c r="I349" i="6"/>
  <c r="I174" i="6"/>
  <c r="K349" i="6"/>
  <c r="G224" i="6"/>
  <c r="K487" i="6"/>
  <c r="I358" i="6"/>
  <c r="I360" i="6" s="1"/>
  <c r="I362" i="6" s="1"/>
  <c r="I363" i="6" s="1"/>
  <c r="I179" i="6"/>
  <c r="I180" i="6" s="1"/>
  <c r="K488" i="6"/>
  <c r="G202" i="6"/>
  <c r="G240" i="6"/>
  <c r="G242" i="6" s="1"/>
  <c r="I111" i="6"/>
  <c r="I106" i="6"/>
  <c r="I107" i="6" s="1"/>
  <c r="I489" i="6"/>
  <c r="I483" i="6"/>
  <c r="I484" i="6" s="1"/>
  <c r="G109" i="6"/>
  <c r="G170" i="6"/>
  <c r="I411" i="6"/>
  <c r="G226" i="6"/>
  <c r="G296" i="6"/>
  <c r="G298" i="6" s="1"/>
  <c r="G300" i="6" s="1"/>
  <c r="G301" i="6" s="1"/>
  <c r="I318" i="6"/>
  <c r="I327" i="6"/>
  <c r="M360" i="6"/>
  <c r="M362" i="6" s="1"/>
  <c r="M363" i="6" s="1"/>
  <c r="G359" i="6"/>
  <c r="K411" i="6"/>
  <c r="G486" i="6"/>
  <c r="G487" i="6"/>
  <c r="G488" i="6"/>
  <c r="G327" i="6"/>
  <c r="G32" i="6"/>
  <c r="G92" i="6"/>
  <c r="G93" i="6" s="1"/>
  <c r="G197" i="6"/>
  <c r="G198" i="6" s="1"/>
  <c r="G225" i="6"/>
  <c r="I226" i="6"/>
  <c r="I296" i="6"/>
  <c r="K318" i="6"/>
  <c r="I124" i="6"/>
  <c r="G124" i="6"/>
  <c r="I68" i="6"/>
  <c r="G68" i="6"/>
  <c r="G69" i="6" s="1"/>
  <c r="K124" i="6"/>
  <c r="K120" i="6" s="1"/>
  <c r="K121" i="6" s="1"/>
  <c r="K139" i="6"/>
  <c r="I139" i="6"/>
  <c r="G139" i="6"/>
  <c r="I8" i="6"/>
  <c r="G8" i="6"/>
  <c r="G27" i="6"/>
  <c r="G28" i="6" s="1"/>
  <c r="G43" i="6"/>
  <c r="G45" i="6" s="1"/>
  <c r="G50" i="6"/>
  <c r="G51" i="6" s="1"/>
  <c r="G97" i="6"/>
  <c r="I123" i="6"/>
  <c r="G123" i="6"/>
  <c r="I176" i="6"/>
  <c r="G176" i="6"/>
  <c r="K221" i="6"/>
  <c r="K222" i="6" s="1"/>
  <c r="K227" i="6"/>
  <c r="K426" i="6"/>
  <c r="I426" i="6"/>
  <c r="M426" i="6"/>
  <c r="M427" i="6" s="1"/>
  <c r="G426" i="6"/>
  <c r="I9" i="6"/>
  <c r="G9" i="6"/>
  <c r="K138" i="6"/>
  <c r="I138" i="6"/>
  <c r="G138" i="6"/>
  <c r="K328" i="6"/>
  <c r="I328" i="6"/>
  <c r="M328" i="6"/>
  <c r="M329" i="6" s="1"/>
  <c r="M331" i="6" s="1"/>
  <c r="M332" i="6" s="1"/>
  <c r="G328" i="6"/>
  <c r="K9" i="6"/>
  <c r="K10" i="6" s="1"/>
  <c r="K12" i="6" s="1"/>
  <c r="K13" i="6" s="1"/>
  <c r="I348" i="6"/>
  <c r="G348" i="6"/>
  <c r="G350" i="6" s="1"/>
  <c r="G352" i="6" s="1"/>
  <c r="G353" i="6" s="1"/>
  <c r="K348" i="6"/>
  <c r="M348" i="6"/>
  <c r="K401" i="6"/>
  <c r="I401" i="6"/>
  <c r="G401" i="6"/>
  <c r="G402" i="6" s="1"/>
  <c r="G404" i="6" s="1"/>
  <c r="G405" i="6" s="1"/>
  <c r="M401" i="6"/>
  <c r="M402" i="6" s="1"/>
  <c r="M404" i="6" s="1"/>
  <c r="M405" i="6" s="1"/>
  <c r="G64" i="6"/>
  <c r="G65" i="6" s="1"/>
  <c r="G71" i="6" s="1"/>
  <c r="G72" i="6" s="1"/>
  <c r="G153" i="6"/>
  <c r="G148" i="6"/>
  <c r="G149" i="6" s="1"/>
  <c r="I260" i="6"/>
  <c r="I262" i="6" s="1"/>
  <c r="I264" i="6" s="1"/>
  <c r="I265" i="6" s="1"/>
  <c r="G260" i="6"/>
  <c r="I379" i="6"/>
  <c r="G379" i="6"/>
  <c r="K379" i="6"/>
  <c r="M379" i="6"/>
  <c r="I317" i="6"/>
  <c r="G317" i="6"/>
  <c r="G319" i="6" s="1"/>
  <c r="G321" i="6" s="1"/>
  <c r="G322" i="6" s="1"/>
  <c r="K378" i="6"/>
  <c r="I378" i="6"/>
  <c r="I410" i="6"/>
  <c r="G410" i="6"/>
  <c r="G412" i="6" s="1"/>
  <c r="G414" i="6" s="1"/>
  <c r="G415" i="6" s="1"/>
  <c r="I446" i="6"/>
  <c r="G446" i="6"/>
  <c r="G261" i="6"/>
  <c r="K317" i="6"/>
  <c r="G378" i="6"/>
  <c r="K410" i="6"/>
  <c r="K445" i="6"/>
  <c r="I445" i="6"/>
  <c r="K446" i="6"/>
  <c r="K297" i="6"/>
  <c r="I297" i="6"/>
  <c r="I466" i="6"/>
  <c r="G466" i="6"/>
  <c r="G467" i="6" s="1"/>
  <c r="G469" i="6" s="1"/>
  <c r="I175" i="6"/>
  <c r="G175" i="6"/>
  <c r="G247" i="6"/>
  <c r="G248" i="6" s="1"/>
  <c r="M297" i="6"/>
  <c r="M298" i="6" s="1"/>
  <c r="M300" i="6" s="1"/>
  <c r="M301" i="6" s="1"/>
  <c r="M317" i="6"/>
  <c r="K359" i="6"/>
  <c r="I359" i="6"/>
  <c r="M378" i="6"/>
  <c r="M410" i="6"/>
  <c r="G445" i="6"/>
  <c r="M446" i="6"/>
  <c r="M447" i="6" s="1"/>
  <c r="M449" i="6" s="1"/>
  <c r="M450" i="6" s="1"/>
  <c r="K296" i="6"/>
  <c r="M318" i="6"/>
  <c r="K327" i="6"/>
  <c r="M349" i="6"/>
  <c r="K358" i="6"/>
  <c r="K400" i="6"/>
  <c r="M411" i="6"/>
  <c r="K425" i="6"/>
  <c r="G155" i="6" l="1"/>
  <c r="G156" i="6" s="1"/>
  <c r="I422" i="6"/>
  <c r="I423" i="6" s="1"/>
  <c r="K298" i="6"/>
  <c r="K300" i="6" s="1"/>
  <c r="K301" i="6" s="1"/>
  <c r="I227" i="6"/>
  <c r="I329" i="6"/>
  <c r="I331" i="6" s="1"/>
  <c r="I332" i="6" s="1"/>
  <c r="G227" i="6"/>
  <c r="G329" i="6"/>
  <c r="G331" i="6" s="1"/>
  <c r="G332" i="6" s="1"/>
  <c r="K489" i="6"/>
  <c r="G254" i="6"/>
  <c r="G57" i="6"/>
  <c r="G58" i="6" s="1"/>
  <c r="G422" i="6"/>
  <c r="G423" i="6" s="1"/>
  <c r="I171" i="6"/>
  <c r="I172" i="6" s="1"/>
  <c r="G85" i="6"/>
  <c r="G86" i="6" s="1"/>
  <c r="M422" i="6"/>
  <c r="M423" i="6" s="1"/>
  <c r="M429" i="6" s="1"/>
  <c r="M430" i="6" s="1"/>
  <c r="I298" i="6"/>
  <c r="I300" i="6" s="1"/>
  <c r="I301" i="6" s="1"/>
  <c r="I350" i="6"/>
  <c r="I352" i="6" s="1"/>
  <c r="I353" i="6" s="1"/>
  <c r="G360" i="6"/>
  <c r="G362" i="6" s="1"/>
  <c r="G363" i="6" s="1"/>
  <c r="G380" i="6"/>
  <c r="G382" i="6" s="1"/>
  <c r="G383" i="6" s="1"/>
  <c r="G221" i="6"/>
  <c r="G222" i="6" s="1"/>
  <c r="G229" i="6" s="1"/>
  <c r="G230" i="6" s="1"/>
  <c r="G427" i="6"/>
  <c r="I221" i="6"/>
  <c r="I222" i="6" s="1"/>
  <c r="I229" i="6" s="1"/>
  <c r="I230" i="6" s="1"/>
  <c r="G204" i="6"/>
  <c r="G205" i="6" s="1"/>
  <c r="I467" i="6"/>
  <c r="I469" i="6" s="1"/>
  <c r="K380" i="6"/>
  <c r="K382" i="6" s="1"/>
  <c r="K383" i="6" s="1"/>
  <c r="G177" i="6"/>
  <c r="I491" i="6"/>
  <c r="I64" i="6"/>
  <c r="I65" i="6" s="1"/>
  <c r="I427" i="6"/>
  <c r="I402" i="6"/>
  <c r="I404" i="6" s="1"/>
  <c r="I405" i="6" s="1"/>
  <c r="G99" i="6"/>
  <c r="G100" i="6" s="1"/>
  <c r="K483" i="6"/>
  <c r="K484" i="6" s="1"/>
  <c r="K350" i="6"/>
  <c r="K352" i="6" s="1"/>
  <c r="K353" i="6" s="1"/>
  <c r="G34" i="6"/>
  <c r="G35" i="6" s="1"/>
  <c r="I113" i="6"/>
  <c r="I114" i="6" s="1"/>
  <c r="K447" i="6"/>
  <c r="K449" i="6" s="1"/>
  <c r="K450" i="6" s="1"/>
  <c r="K319" i="6"/>
  <c r="K321" i="6" s="1"/>
  <c r="K322" i="6" s="1"/>
  <c r="I380" i="6"/>
  <c r="I382" i="6" s="1"/>
  <c r="I383" i="6" s="1"/>
  <c r="I69" i="6"/>
  <c r="I10" i="6"/>
  <c r="I12" i="6" s="1"/>
  <c r="I13" i="6" s="1"/>
  <c r="G106" i="6"/>
  <c r="G107" i="6" s="1"/>
  <c r="G111" i="6"/>
  <c r="I412" i="6"/>
  <c r="I414" i="6" s="1"/>
  <c r="I415" i="6" s="1"/>
  <c r="I319" i="6"/>
  <c r="I321" i="6" s="1"/>
  <c r="I322" i="6" s="1"/>
  <c r="G447" i="6"/>
  <c r="G449" i="6" s="1"/>
  <c r="G450" i="6" s="1"/>
  <c r="M380" i="6"/>
  <c r="M382" i="6" s="1"/>
  <c r="M383" i="6" s="1"/>
  <c r="M319" i="6"/>
  <c r="M321" i="6" s="1"/>
  <c r="M322" i="6" s="1"/>
  <c r="K360" i="6"/>
  <c r="K362" i="6" s="1"/>
  <c r="K363" i="6" s="1"/>
  <c r="K412" i="6"/>
  <c r="K414" i="6" s="1"/>
  <c r="K415" i="6" s="1"/>
  <c r="G171" i="6"/>
  <c r="G172" i="6" s="1"/>
  <c r="G489" i="6"/>
  <c r="G483" i="6"/>
  <c r="G484" i="6" s="1"/>
  <c r="I177" i="6"/>
  <c r="K140" i="6"/>
  <c r="K135" i="6"/>
  <c r="K136" i="6" s="1"/>
  <c r="G120" i="6"/>
  <c r="G121" i="6" s="1"/>
  <c r="G125" i="6"/>
  <c r="K329" i="6"/>
  <c r="K331" i="6" s="1"/>
  <c r="K332" i="6" s="1"/>
  <c r="M412" i="6"/>
  <c r="M414" i="6" s="1"/>
  <c r="M415" i="6" s="1"/>
  <c r="G262" i="6"/>
  <c r="G264" i="6" s="1"/>
  <c r="G265" i="6" s="1"/>
  <c r="K125" i="6"/>
  <c r="K127" i="6" s="1"/>
  <c r="K128" i="6" s="1"/>
  <c r="M350" i="6"/>
  <c r="M352" i="6" s="1"/>
  <c r="M353" i="6" s="1"/>
  <c r="G135" i="6"/>
  <c r="G136" i="6" s="1"/>
  <c r="G140" i="6"/>
  <c r="I429" i="6"/>
  <c r="I430" i="6" s="1"/>
  <c r="K229" i="6"/>
  <c r="K230" i="6" s="1"/>
  <c r="I125" i="6"/>
  <c r="I120" i="6"/>
  <c r="I121" i="6" s="1"/>
  <c r="I127" i="6" s="1"/>
  <c r="I128" i="6" s="1"/>
  <c r="K427" i="6"/>
  <c r="K422" i="6"/>
  <c r="K423" i="6" s="1"/>
  <c r="K402" i="6"/>
  <c r="K404" i="6" s="1"/>
  <c r="K405" i="6" s="1"/>
  <c r="I447" i="6"/>
  <c r="I449" i="6" s="1"/>
  <c r="I450" i="6" s="1"/>
  <c r="I135" i="6"/>
  <c r="I136" i="6" s="1"/>
  <c r="I140" i="6"/>
  <c r="G10" i="6"/>
  <c r="G12" i="6" s="1"/>
  <c r="G13" i="6" s="1"/>
  <c r="K491" i="6" l="1"/>
  <c r="I182" i="6"/>
  <c r="I183" i="6" s="1"/>
  <c r="G429" i="6"/>
  <c r="G430" i="6" s="1"/>
  <c r="G491" i="6"/>
  <c r="G182" i="6"/>
  <c r="G183" i="6" s="1"/>
  <c r="I71" i="6"/>
  <c r="I72" i="6" s="1"/>
  <c r="G113" i="6"/>
  <c r="G114" i="6" s="1"/>
  <c r="K429" i="6"/>
  <c r="K430" i="6" s="1"/>
  <c r="G142" i="6"/>
  <c r="G143" i="6" s="1"/>
  <c r="G127" i="6"/>
  <c r="G128" i="6" s="1"/>
  <c r="I142" i="6"/>
  <c r="I143" i="6" s="1"/>
  <c r="K142" i="6"/>
  <c r="K143" i="6" s="1"/>
</calcChain>
</file>

<file path=xl/sharedStrings.xml><?xml version="1.0" encoding="utf-8"?>
<sst xmlns="http://schemas.openxmlformats.org/spreadsheetml/2006/main" count="992" uniqueCount="152">
  <si>
    <t>내장공</t>
  </si>
  <si>
    <t>도배공</t>
  </si>
  <si>
    <t>미장공</t>
  </si>
  <si>
    <t>보통인부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</si>
  <si>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</si>
  <si>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</si>
  <si>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</si>
  <si>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</si>
  <si>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</si>
  <si>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</si>
  <si>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</si>
  <si>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</si>
  <si>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</si>
  <si>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</si>
  <si>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합   계</t>
    <phoneticPr fontId="3" type="noConversion"/>
  </si>
  <si>
    <t>식</t>
    <phoneticPr fontId="3" type="noConversion"/>
  </si>
  <si>
    <t>규격</t>
    <phoneticPr fontId="5" type="noConversion"/>
  </si>
  <si>
    <t>hr</t>
  </si>
  <si>
    <t>수량</t>
    <phoneticPr fontId="3" type="noConversion"/>
  </si>
  <si>
    <t>금액</t>
    <phoneticPr fontId="3" type="noConversion"/>
  </si>
  <si>
    <t>공구손료</t>
    <phoneticPr fontId="5" type="noConversion"/>
  </si>
  <si>
    <t>인력품의 2%</t>
    <phoneticPr fontId="3" type="noConversion"/>
  </si>
  <si>
    <t>인력품의 3%</t>
    <phoneticPr fontId="3" type="noConversion"/>
  </si>
  <si>
    <t>㎏</t>
    <phoneticPr fontId="3" type="noConversion"/>
  </si>
  <si>
    <t>(㎡당)</t>
    <phoneticPr fontId="3" type="noConversion"/>
  </si>
  <si>
    <t>제 5 장 수장공사</t>
    <phoneticPr fontId="3" type="noConversion"/>
  </si>
  <si>
    <t>5-1 바닥</t>
  </si>
  <si>
    <t>접착제</t>
  </si>
  <si>
    <t>접착제</t>
    <phoneticPr fontId="5" type="noConversion"/>
  </si>
  <si>
    <t>5-1-2 카페트 설치</t>
    <phoneticPr fontId="3" type="noConversion"/>
  </si>
  <si>
    <t>카페트</t>
  </si>
  <si>
    <t>펠트</t>
  </si>
  <si>
    <t>㎡</t>
    <phoneticPr fontId="3" type="noConversion"/>
  </si>
  <si>
    <t>5-1-3 플로어링 마루 설치</t>
    <phoneticPr fontId="3" type="noConversion"/>
  </si>
  <si>
    <t>치장용</t>
    <phoneticPr fontId="3" type="noConversion"/>
  </si>
  <si>
    <t>인력품의 1%</t>
    <phoneticPr fontId="3" type="noConversion"/>
  </si>
  <si>
    <t>크레인(타이어)</t>
    <phoneticPr fontId="3" type="noConversion"/>
  </si>
  <si>
    <t>20ton</t>
    <phoneticPr fontId="3" type="noConversion"/>
  </si>
  <si>
    <t>칸막이벽</t>
    <phoneticPr fontId="3" type="noConversion"/>
  </si>
  <si>
    <t>지붕</t>
    <phoneticPr fontId="3" type="noConversion"/>
  </si>
  <si>
    <t>※ 줄눈재 설치</t>
    <phoneticPr fontId="3" type="noConversion"/>
  </si>
  <si>
    <t>m</t>
    <phoneticPr fontId="3" type="noConversion"/>
  </si>
  <si>
    <t>(m당)</t>
    <phoneticPr fontId="3" type="noConversion"/>
  </si>
  <si>
    <t>흡음판</t>
  </si>
  <si>
    <t>조이너</t>
  </si>
  <si>
    <t>㎡</t>
  </si>
  <si>
    <t>m</t>
  </si>
  <si>
    <t>1,000×2,000×50㎜</t>
    <phoneticPr fontId="3" type="noConversion"/>
  </si>
  <si>
    <t>P.V.C 50T</t>
    <phoneticPr fontId="3" type="noConversion"/>
  </si>
  <si>
    <t>석공</t>
  </si>
  <si>
    <t>석재류</t>
    <phoneticPr fontId="3" type="noConversion"/>
  </si>
  <si>
    <t>합성수지류</t>
    <phoneticPr fontId="3" type="noConversion"/>
  </si>
  <si>
    <t>중밀도섬유판</t>
  </si>
  <si>
    <t>중밀도섬유판</t>
    <phoneticPr fontId="3" type="noConversion"/>
  </si>
  <si>
    <t>테라조</t>
  </si>
  <si>
    <t>합성수지</t>
  </si>
  <si>
    <t>모르타르</t>
  </si>
  <si>
    <t>㎏</t>
  </si>
  <si>
    <t>별도계상</t>
    <phoneticPr fontId="3" type="noConversion"/>
  </si>
  <si>
    <r>
      <t>합판</t>
    </r>
    <r>
      <rPr>
        <sz val="9.1"/>
        <rFont val="Yu Gothic"/>
        <family val="3"/>
        <charset val="128"/>
      </rPr>
      <t>･</t>
    </r>
    <r>
      <rPr>
        <sz val="9.1"/>
        <rFont val="맑은 고딕"/>
        <family val="3"/>
        <charset val="129"/>
        <scheme val="minor"/>
      </rPr>
      <t>석고보드면</t>
    </r>
    <phoneticPr fontId="3" type="noConversion"/>
  </si>
  <si>
    <r>
      <t>콘크리트</t>
    </r>
    <r>
      <rPr>
        <sz val="9.1"/>
        <rFont val="Yu Gothic"/>
        <family val="3"/>
        <charset val="128"/>
      </rPr>
      <t>･</t>
    </r>
    <r>
      <rPr>
        <sz val="9.1"/>
        <rFont val="맑은 고딕"/>
        <family val="3"/>
        <charset val="129"/>
        <scheme val="minor"/>
      </rPr>
      <t>모르타르면</t>
    </r>
    <phoneticPr fontId="3" type="noConversion"/>
  </si>
  <si>
    <t>초배지</t>
  </si>
  <si>
    <t>정배지</t>
  </si>
  <si>
    <t>풀</t>
  </si>
  <si>
    <t>※ 재료량</t>
    <phoneticPr fontId="3" type="noConversion"/>
  </si>
  <si>
    <t>단열재</t>
    <phoneticPr fontId="3" type="noConversion"/>
  </si>
  <si>
    <t>접착제</t>
    <phoneticPr fontId="3" type="noConversion"/>
  </si>
  <si>
    <t>바닥</t>
    <phoneticPr fontId="3" type="noConversion"/>
  </si>
  <si>
    <t>벽</t>
    <phoneticPr fontId="3" type="noConversion"/>
  </si>
  <si>
    <t>방습필름</t>
  </si>
  <si>
    <t>필름 폭 0.9m 기준</t>
    <phoneticPr fontId="3" type="noConversion"/>
  </si>
  <si>
    <t>단열두께 60㎜ 이하</t>
    <phoneticPr fontId="3" type="noConversion"/>
  </si>
  <si>
    <t>단열두께 100㎜ 이하</t>
    <phoneticPr fontId="3" type="noConversion"/>
  </si>
  <si>
    <t>※ 하부보강작업</t>
    <phoneticPr fontId="3" type="noConversion"/>
  </si>
  <si>
    <t>(단열두께 50㎜ 기준)</t>
    <phoneticPr fontId="3" type="noConversion"/>
  </si>
  <si>
    <t>단열판</t>
  </si>
  <si>
    <t>시멘트</t>
  </si>
  <si>
    <t>표준보강메쉬</t>
  </si>
  <si>
    <t>고강도메쉬</t>
  </si>
  <si>
    <t>외벽단열</t>
    <phoneticPr fontId="3" type="noConversion"/>
  </si>
  <si>
    <t>하부보강</t>
    <phoneticPr fontId="3" type="noConversion"/>
  </si>
  <si>
    <t>인력품의 5%</t>
    <phoneticPr fontId="3" type="noConversion"/>
  </si>
  <si>
    <t>5-1-4 이중바닥 설치</t>
  </si>
  <si>
    <t>독립지지 다리방식</t>
    <phoneticPr fontId="3" type="noConversion"/>
  </si>
  <si>
    <t>장선방식</t>
    <phoneticPr fontId="3" type="noConversion"/>
  </si>
  <si>
    <t>5-2-3 석고판 설치(나사고정)</t>
  </si>
  <si>
    <t>5-2-2 열경화성수지천장판 설치</t>
  </si>
  <si>
    <t>5-2 천장</t>
    <phoneticPr fontId="3" type="noConversion"/>
  </si>
  <si>
    <t>5-3 벽</t>
    <phoneticPr fontId="3" type="noConversion"/>
  </si>
  <si>
    <t>5-3-1 석고판 설치(나사고정)</t>
  </si>
  <si>
    <t>5-3-2 석고판 설치(접착제)</t>
  </si>
  <si>
    <t>5-3-3 샌드위치(단열)패널 설치</t>
  </si>
  <si>
    <t>5-3-4 흡음판 설치</t>
  </si>
  <si>
    <t>5-3-5 걸레받이 설치</t>
  </si>
  <si>
    <t>5-3-7 도배바름</t>
  </si>
  <si>
    <t>5-3-6 마루귀틀 설치</t>
  </si>
  <si>
    <t>5-4 단열</t>
    <phoneticPr fontId="3" type="noConversion"/>
  </si>
  <si>
    <t>단열두께(㎜)</t>
    <phoneticPr fontId="3" type="noConversion"/>
  </si>
  <si>
    <t>50이하</t>
    <phoneticPr fontId="3" type="noConversion"/>
  </si>
  <si>
    <t>100이하</t>
    <phoneticPr fontId="3" type="noConversion"/>
  </si>
  <si>
    <t>200이하</t>
    <phoneticPr fontId="3" type="noConversion"/>
  </si>
  <si>
    <t>300이하</t>
    <phoneticPr fontId="3" type="noConversion"/>
  </si>
  <si>
    <t>5-4-1 단열재 공간넣기</t>
  </si>
  <si>
    <t>5-4-2 단열재 접착제 붙이기</t>
  </si>
  <si>
    <t>벽 50이하</t>
    <phoneticPr fontId="3" type="noConversion"/>
  </si>
  <si>
    <t>천장 50이하</t>
    <phoneticPr fontId="3" type="noConversion"/>
  </si>
  <si>
    <t>벽 100이하</t>
    <phoneticPr fontId="3" type="noConversion"/>
  </si>
  <si>
    <t>천장 100이하</t>
    <phoneticPr fontId="3" type="noConversion"/>
  </si>
  <si>
    <t>벽 200이하</t>
    <phoneticPr fontId="3" type="noConversion"/>
  </si>
  <si>
    <t>천장 200이하</t>
    <phoneticPr fontId="3" type="noConversion"/>
  </si>
  <si>
    <t>벽 300이하</t>
    <phoneticPr fontId="3" type="noConversion"/>
  </si>
  <si>
    <t>천장 300이하</t>
    <phoneticPr fontId="3" type="noConversion"/>
  </si>
  <si>
    <t>수량:0.3~0.35</t>
    <phoneticPr fontId="3" type="noConversion"/>
  </si>
  <si>
    <t>5-4-3 단열재 격자넣기</t>
  </si>
  <si>
    <t>5-4-4 단열재 핀사용 붙이기</t>
  </si>
  <si>
    <t>알루미늄핀</t>
    <phoneticPr fontId="3" type="noConversion"/>
  </si>
  <si>
    <t>개</t>
    <phoneticPr fontId="3" type="noConversion"/>
  </si>
  <si>
    <t>5-4-5 단열재 타정 부착</t>
  </si>
  <si>
    <t>5-4-6 단열재 콘크리트타설 부착</t>
  </si>
  <si>
    <t>5-4-7 단열재 슬래브위 깔기</t>
  </si>
  <si>
    <t>(필요시)</t>
    <phoneticPr fontId="3" type="noConversion"/>
  </si>
  <si>
    <t>5-4-8 방습필름설치</t>
    <phoneticPr fontId="3" type="noConversion"/>
  </si>
  <si>
    <t>단열두께 200㎜ 이하</t>
    <phoneticPr fontId="3" type="noConversion"/>
  </si>
  <si>
    <t>5-4-9 외벽단열공법</t>
    <phoneticPr fontId="3" type="noConversion"/>
  </si>
  <si>
    <t>(일당)</t>
    <phoneticPr fontId="3" type="noConversion"/>
  </si>
  <si>
    <t>시공량(㎡)</t>
    <phoneticPr fontId="3" type="noConversion"/>
  </si>
  <si>
    <t>㎡당 단가</t>
    <phoneticPr fontId="3" type="noConversion"/>
  </si>
  <si>
    <t>시공량(㎡)</t>
  </si>
  <si>
    <t>시트형</t>
    <phoneticPr fontId="3" type="noConversion"/>
  </si>
  <si>
    <t>타일형</t>
    <phoneticPr fontId="3" type="noConversion"/>
  </si>
  <si>
    <t>전면접착 방식</t>
    <phoneticPr fontId="3" type="noConversion"/>
  </si>
  <si>
    <t>부분접착 방식</t>
    <phoneticPr fontId="3" type="noConversion"/>
  </si>
  <si>
    <t>바닥 타일</t>
    <phoneticPr fontId="3" type="noConversion"/>
  </si>
  <si>
    <t>바닥 시트</t>
    <phoneticPr fontId="3" type="noConversion"/>
  </si>
  <si>
    <t>[주] 재료량은 다음을 참고한다.</t>
    <phoneticPr fontId="3" type="noConversion"/>
  </si>
  <si>
    <t>5-1-1 PVC계 바닥재 설치</t>
  </si>
  <si>
    <t>5-2-1 흡음텍스 설치</t>
  </si>
  <si>
    <t>개당 0.2㎡이하</t>
    <phoneticPr fontId="3" type="noConversion"/>
  </si>
  <si>
    <t>개당 0.4㎡이하</t>
    <phoneticPr fontId="3" type="noConversion"/>
  </si>
  <si>
    <t>바탕용(1겹)</t>
    <phoneticPr fontId="3" type="noConversion"/>
  </si>
  <si>
    <t>바탕용(2겹)</t>
    <phoneticPr fontId="3" type="noConversion"/>
  </si>
  <si>
    <t>시공량(m)</t>
  </si>
  <si>
    <t>시공량(m)</t>
    <phoneticPr fontId="3" type="noConversion"/>
  </si>
  <si>
    <t>m당 단가</t>
    <phoneticPr fontId="3" type="noConversion"/>
  </si>
  <si>
    <t>수량:0.022∼0.035</t>
    <phoneticPr fontId="3" type="noConversion"/>
  </si>
  <si>
    <t>※ 위 재료량은 할증이 포함되어 있으며, 필름 폭 0.9m를 기준한 것이다.</t>
  </si>
  <si>
    <t>※ 위 재료량은 할증이 포함된 것이다.</t>
  </si>
  <si>
    <t>5-1-5 바닥용 배수판 설치</t>
  </si>
  <si>
    <t>규격 0.5㎡이하</t>
    <phoneticPr fontId="3" type="noConversion"/>
  </si>
  <si>
    <t>규격 1.0㎡이하</t>
    <phoneticPr fontId="3" type="noConversion"/>
  </si>
  <si>
    <t>규격 2.0㎡이하</t>
    <phoneticPr fontId="3" type="noConversion"/>
  </si>
  <si>
    <t>5-3-8 벽체용 배수판 설치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</si>
</sst>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_-* #,##0.0000_-;\-* #,##0.0000_-;_-* &quot;-&quot;_-;_-@_-"/>
    <numFmt numFmtId="186" formatCode="#,##0.00_);[Red]\(#,##0.0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sz val="9.1"/>
      <name val="Yu Gothic"/>
      <family val="3"/>
      <charset val="128"/>
    </font>
    <font>
      <b/>
      <sz val="9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  <font>
      <sz val="9"/>
      <color indexed="1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1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3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3" xfId="3" applyFont="1" applyBorder="1" applyAlignment="1">
      <alignment vertical="center" shrinkToFit="1"/>
    </xf>
    <xf numFmtId="180" fontId="9" fillId="0" borderId="5" xfId="1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4" xfId="3" applyFont="1" applyBorder="1" applyAlignment="1">
      <alignment vertical="center" shrinkToFit="1"/>
    </xf>
    <xf numFmtId="0" fontId="12" fillId="0" borderId="0" xfId="6" applyFont="1" applyAlignment="1">
      <alignment vertical="center"/>
    </xf>
    <xf numFmtId="0" fontId="9" fillId="0" borderId="3" xfId="6" applyFont="1" applyBorder="1" applyAlignment="1">
      <alignment vertical="center"/>
    </xf>
    <xf numFmtId="0" fontId="9" fillId="0" borderId="4" xfId="6" applyFont="1" applyBorder="1" applyAlignment="1">
      <alignment horizontal="right" vertical="center"/>
    </xf>
    <xf numFmtId="181" fontId="9" fillId="0" borderId="5" xfId="7" applyNumberFormat="1" applyFont="1" applyFill="1" applyBorder="1" applyAlignment="1">
      <alignment vertical="center"/>
    </xf>
    <xf numFmtId="0" fontId="9" fillId="0" borderId="3" xfId="6" applyFont="1" applyBorder="1" applyAlignment="1">
      <alignment horizontal="left" vertical="center"/>
    </xf>
    <xf numFmtId="0" fontId="10" fillId="0" borderId="8" xfId="6" applyFont="1" applyBorder="1" applyAlignment="1">
      <alignment horizontal="left" vertical="center"/>
    </xf>
    <xf numFmtId="0" fontId="11" fillId="0" borderId="3" xfId="3" applyFont="1" applyBorder="1" applyAlignment="1">
      <alignment vertical="center"/>
    </xf>
    <xf numFmtId="0" fontId="11" fillId="0" borderId="0" xfId="3" applyFont="1" applyAlignment="1">
      <alignment vertical="center"/>
    </xf>
    <xf numFmtId="0" fontId="14" fillId="0" borderId="3" xfId="3" applyFont="1" applyBorder="1" applyAlignment="1">
      <alignment vertical="center"/>
    </xf>
    <xf numFmtId="41" fontId="14" fillId="0" borderId="5" xfId="7" applyFont="1" applyFill="1" applyBorder="1" applyAlignment="1">
      <alignment vertical="center"/>
    </xf>
    <xf numFmtId="0" fontId="14" fillId="0" borderId="3" xfId="6" applyFont="1" applyBorder="1" applyAlignment="1">
      <alignment horizontal="left" vertical="center"/>
    </xf>
    <xf numFmtId="0" fontId="14" fillId="0" borderId="4" xfId="6" applyFont="1" applyBorder="1" applyAlignment="1">
      <alignment vertical="center"/>
    </xf>
    <xf numFmtId="0" fontId="15" fillId="0" borderId="4" xfId="3" applyFont="1" applyBorder="1" applyAlignment="1">
      <alignment horizontal="center" vertical="center"/>
    </xf>
    <xf numFmtId="0" fontId="15" fillId="0" borderId="3" xfId="6" applyFont="1" applyBorder="1" applyAlignment="1">
      <alignment horizontal="left" vertical="center"/>
    </xf>
    <xf numFmtId="0" fontId="11" fillId="0" borderId="0" xfId="3" applyFont="1" applyAlignment="1">
      <alignment horizontal="right" vertical="center"/>
    </xf>
    <xf numFmtId="0" fontId="9" fillId="0" borderId="0" xfId="2" applyFont="1" applyAlignment="1">
      <alignment vertical="center"/>
    </xf>
    <xf numFmtId="0" fontId="9" fillId="0" borderId="0" xfId="0" applyFont="1">
      <alignment vertical="center"/>
    </xf>
    <xf numFmtId="182" fontId="9" fillId="0" borderId="4" xfId="8" applyNumberFormat="1" applyFont="1" applyBorder="1" applyAlignment="1">
      <alignment vertical="center"/>
    </xf>
    <xf numFmtId="180" fontId="9" fillId="0" borderId="0" xfId="8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left" vertical="center"/>
    </xf>
    <xf numFmtId="41" fontId="10" fillId="0" borderId="0" xfId="8" applyFont="1" applyBorder="1" applyAlignment="1">
      <alignment vertical="center"/>
    </xf>
    <xf numFmtId="183" fontId="10" fillId="0" borderId="4" xfId="8" applyNumberFormat="1" applyFont="1" applyFill="1" applyBorder="1" applyAlignment="1">
      <alignment vertical="center"/>
    </xf>
    <xf numFmtId="41" fontId="9" fillId="0" borderId="4" xfId="2" applyNumberFormat="1" applyFont="1" applyBorder="1" applyAlignment="1">
      <alignment vertical="center"/>
    </xf>
    <xf numFmtId="0" fontId="10" fillId="0" borderId="6" xfId="2" applyFont="1" applyBorder="1" applyAlignment="1">
      <alignment vertical="center"/>
    </xf>
    <xf numFmtId="41" fontId="10" fillId="0" borderId="7" xfId="8" applyFont="1" applyBorder="1" applyAlignment="1">
      <alignment vertical="center"/>
    </xf>
    <xf numFmtId="0" fontId="10" fillId="0" borderId="3" xfId="2" applyFont="1" applyBorder="1" applyAlignment="1">
      <alignment horizontal="left" vertical="center"/>
    </xf>
    <xf numFmtId="0" fontId="16" fillId="0" borderId="3" xfId="2" applyFont="1" applyBorder="1" applyAlignment="1">
      <alignment horizontal="left" vertical="center"/>
    </xf>
    <xf numFmtId="0" fontId="16" fillId="0" borderId="8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horizontal="right" vertical="center"/>
    </xf>
    <xf numFmtId="0" fontId="9" fillId="0" borderId="3" xfId="2" applyFont="1" applyBorder="1" applyAlignment="1">
      <alignment horizontal="center" vertical="center"/>
    </xf>
    <xf numFmtId="41" fontId="14" fillId="0" borderId="5" xfId="8" applyFont="1" applyBorder="1" applyAlignment="1">
      <alignment vertical="center"/>
    </xf>
    <xf numFmtId="41" fontId="14" fillId="0" borderId="5" xfId="8" applyFont="1" applyFill="1" applyBorder="1" applyAlignment="1">
      <alignment vertical="center"/>
    </xf>
    <xf numFmtId="41" fontId="10" fillId="0" borderId="4" xfId="1" applyFont="1" applyBorder="1" applyAlignment="1">
      <alignment vertical="center"/>
    </xf>
    <xf numFmtId="41" fontId="9" fillId="0" borderId="4" xfId="8" applyFont="1" applyBorder="1" applyAlignment="1">
      <alignment vertical="center"/>
    </xf>
    <xf numFmtId="183" fontId="10" fillId="0" borderId="4" xfId="8" applyNumberFormat="1" applyFont="1" applyBorder="1" applyAlignment="1">
      <alignment vertical="center"/>
    </xf>
    <xf numFmtId="180" fontId="9" fillId="0" borderId="4" xfId="8" applyNumberFormat="1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4" xfId="3" applyFont="1" applyBorder="1" applyAlignment="1">
      <alignment horizontal="center" vertical="center"/>
    </xf>
    <xf numFmtId="41" fontId="9" fillId="0" borderId="4" xfId="1" applyFont="1" applyBorder="1" applyAlignment="1">
      <alignment horizontal="right" vertical="center"/>
    </xf>
    <xf numFmtId="0" fontId="11" fillId="0" borderId="1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183" fontId="9" fillId="0" borderId="4" xfId="8" applyNumberFormat="1" applyFont="1" applyBorder="1" applyAlignment="1">
      <alignment vertical="center"/>
    </xf>
    <xf numFmtId="41" fontId="9" fillId="0" borderId="4" xfId="0" applyNumberFormat="1" applyFont="1" applyBorder="1">
      <alignment vertical="center"/>
    </xf>
    <xf numFmtId="41" fontId="15" fillId="0" borderId="4" xfId="0" applyNumberFormat="1" applyFont="1" applyBorder="1">
      <alignment vertical="center"/>
    </xf>
    <xf numFmtId="41" fontId="15" fillId="0" borderId="9" xfId="1" applyFont="1" applyFill="1" applyBorder="1" applyAlignment="1">
      <alignment vertical="center"/>
    </xf>
    <xf numFmtId="0" fontId="18" fillId="0" borderId="4" xfId="0" applyFont="1" applyBorder="1">
      <alignment vertical="center"/>
    </xf>
    <xf numFmtId="41" fontId="15" fillId="0" borderId="4" xfId="1" applyFont="1" applyFill="1" applyBorder="1" applyAlignment="1">
      <alignment vertical="center"/>
    </xf>
    <xf numFmtId="185" fontId="9" fillId="0" borderId="4" xfId="8" applyNumberFormat="1" applyFont="1" applyBorder="1" applyAlignment="1">
      <alignment vertical="center"/>
    </xf>
    <xf numFmtId="186" fontId="19" fillId="0" borderId="0" xfId="4" applyNumberFormat="1" applyFont="1" applyAlignment="1">
      <alignment vertical="center"/>
    </xf>
    <xf numFmtId="0" fontId="6" fillId="0" borderId="0" xfId="0" applyFont="1" applyAlignment="1"/>
    <xf numFmtId="0" fontId="9" fillId="0" borderId="6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 wrapText="1"/>
    </xf>
    <xf numFmtId="3" fontId="9" fillId="0" borderId="11" xfId="6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14" fillId="0" borderId="4" xfId="0" applyFont="1" applyBorder="1">
      <alignment vertical="center"/>
    </xf>
    <xf numFmtId="180" fontId="14" fillId="0" borderId="4" xfId="1" applyNumberFormat="1" applyFont="1" applyFill="1" applyBorder="1" applyAlignment="1">
      <alignment vertical="center"/>
    </xf>
    <xf numFmtId="41" fontId="14" fillId="0" borderId="5" xfId="1" applyFont="1" applyFill="1" applyBorder="1" applyAlignment="1">
      <alignment vertical="center"/>
    </xf>
    <xf numFmtId="0" fontId="9" fillId="0" borderId="3" xfId="0" applyFont="1" applyBorder="1">
      <alignment vertical="center"/>
    </xf>
    <xf numFmtId="0" fontId="9" fillId="0" borderId="3" xfId="0" applyFont="1" applyBorder="1" applyAlignment="1">
      <alignment horizontal="center" vertical="center"/>
    </xf>
    <xf numFmtId="41" fontId="20" fillId="0" borderId="4" xfId="0" applyNumberFormat="1" applyFont="1" applyBorder="1">
      <alignment vertical="center"/>
    </xf>
    <xf numFmtId="180" fontId="9" fillId="0" borderId="4" xfId="1" applyNumberFormat="1" applyFont="1" applyFill="1" applyBorder="1" applyAlignment="1">
      <alignment vertical="center"/>
    </xf>
    <xf numFmtId="180" fontId="9" fillId="0" borderId="5" xfId="1" applyNumberFormat="1" applyFont="1" applyFill="1" applyBorder="1" applyAlignment="1">
      <alignment vertical="center"/>
    </xf>
    <xf numFmtId="41" fontId="9" fillId="0" borderId="4" xfId="8" applyFont="1" applyFill="1" applyBorder="1" applyAlignment="1">
      <alignment vertical="center"/>
    </xf>
    <xf numFmtId="0" fontId="10" fillId="0" borderId="3" xfId="6" applyFont="1" applyBorder="1" applyAlignment="1">
      <alignment horizontal="left" vertical="center"/>
    </xf>
    <xf numFmtId="0" fontId="10" fillId="0" borderId="4" xfId="2" applyFont="1" applyBorder="1" applyAlignment="1">
      <alignment vertical="center"/>
    </xf>
    <xf numFmtId="41" fontId="10" fillId="0" borderId="5" xfId="8" applyFont="1" applyBorder="1" applyAlignment="1">
      <alignment vertical="center"/>
    </xf>
    <xf numFmtId="0" fontId="9" fillId="0" borderId="8" xfId="6" applyFont="1" applyBorder="1" applyAlignment="1">
      <alignment horizontal="left" vertical="center"/>
    </xf>
    <xf numFmtId="0" fontId="9" fillId="0" borderId="6" xfId="3" applyFont="1" applyBorder="1" applyAlignment="1">
      <alignment horizontal="center" vertical="center"/>
    </xf>
    <xf numFmtId="0" fontId="18" fillId="0" borderId="6" xfId="6" applyFont="1" applyBorder="1" applyAlignment="1">
      <alignment vertical="center"/>
    </xf>
    <xf numFmtId="0" fontId="10" fillId="0" borderId="6" xfId="6" applyFont="1" applyBorder="1" applyAlignment="1">
      <alignment vertical="center"/>
    </xf>
    <xf numFmtId="41" fontId="10" fillId="0" borderId="7" xfId="7" applyFont="1" applyFill="1" applyBorder="1" applyAlignment="1">
      <alignment horizontal="center" vertical="center"/>
    </xf>
    <xf numFmtId="41" fontId="10" fillId="0" borderId="4" xfId="8" applyFont="1" applyBorder="1" applyAlignment="1">
      <alignment vertical="center"/>
    </xf>
    <xf numFmtId="185" fontId="9" fillId="0" borderId="4" xfId="8" applyNumberFormat="1" applyFont="1" applyBorder="1" applyAlignment="1">
      <alignment horizontal="right" vertical="center" shrinkToFit="1"/>
    </xf>
    <xf numFmtId="41" fontId="10" fillId="0" borderId="6" xfId="7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6" xfId="6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 shrinkToFit="1"/>
    </xf>
    <xf numFmtId="0" fontId="11" fillId="0" borderId="11" xfId="3" applyFont="1" applyBorder="1" applyAlignment="1">
      <alignment horizontal="center" vertical="center" shrinkToFit="1"/>
    </xf>
    <xf numFmtId="0" fontId="9" fillId="0" borderId="12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11" fillId="0" borderId="10" xfId="3" applyFont="1" applyBorder="1" applyAlignment="1">
      <alignment horizontal="center" vertical="center" shrinkToFit="1"/>
    </xf>
    <xf numFmtId="0" fontId="11" fillId="0" borderId="12" xfId="3" applyFont="1" applyBorder="1" applyAlignment="1">
      <alignment horizontal="center" vertical="center" shrinkToFit="1"/>
    </xf>
    <xf numFmtId="0" fontId="11" fillId="0" borderId="7" xfId="3" applyFont="1" applyBorder="1" applyAlignment="1">
      <alignment horizontal="center" vertical="center" shrinkToFit="1"/>
    </xf>
    <xf numFmtId="0" fontId="11" fillId="0" borderId="8" xfId="3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2B62-EAA2-4556-BF40-746A80620A3A}">
  <sheetPr>
    <pageSetUpPr fitToPage="1"/>
  </sheetPr>
  <dimension ref="A1:O513"/>
  <sheetViews>
    <sheetView tabSelected="1" zoomScaleNormal="100" workbookViewId="0">
      <selection activeCell="I29" sqref="I29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5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5" ht="12.95" customHeight="1" x14ac:dyDescent="0.3">
      <c r="A1" s="60"/>
      <c r="B1" s="8" t="s">
        <v>25</v>
      </c>
      <c r="C1" s="4"/>
      <c r="D1" s="1"/>
    </row>
    <row r="2" spans="1:15" ht="12.95" customHeight="1" x14ac:dyDescent="0.15">
      <c r="A2" s="61"/>
      <c r="B2" s="1" t="s">
        <v>26</v>
      </c>
    </row>
    <row r="3" spans="1:15" ht="12.95" customHeight="1" x14ac:dyDescent="0.3">
      <c r="B3" s="2" t="s">
        <v>135</v>
      </c>
      <c r="K3" s="48" t="s">
        <v>124</v>
      </c>
    </row>
    <row r="4" spans="1:15" ht="12.95" customHeight="1" x14ac:dyDescent="0.3">
      <c r="B4" s="89" t="s">
        <v>4</v>
      </c>
      <c r="C4" s="91" t="s">
        <v>16</v>
      </c>
      <c r="D4" s="108" t="s">
        <v>9</v>
      </c>
      <c r="E4" s="94" t="s">
        <v>5</v>
      </c>
      <c r="F4" s="102" t="s">
        <v>129</v>
      </c>
      <c r="G4" s="103"/>
      <c r="H4" s="96" t="s">
        <v>128</v>
      </c>
      <c r="I4" s="97"/>
      <c r="J4" s="97"/>
      <c r="K4" s="97"/>
    </row>
    <row r="5" spans="1:15" ht="12.95" customHeight="1" x14ac:dyDescent="0.3">
      <c r="B5" s="106"/>
      <c r="C5" s="107"/>
      <c r="D5" s="109"/>
      <c r="E5" s="101"/>
      <c r="F5" s="104"/>
      <c r="G5" s="105"/>
      <c r="H5" s="96" t="s">
        <v>130</v>
      </c>
      <c r="I5" s="97"/>
      <c r="J5" s="96" t="s">
        <v>131</v>
      </c>
      <c r="K5" s="97"/>
    </row>
    <row r="6" spans="1:15" ht="12.95" customHeight="1" x14ac:dyDescent="0.3">
      <c r="B6" s="106"/>
      <c r="C6" s="107"/>
      <c r="D6" s="109"/>
      <c r="E6" s="101"/>
      <c r="F6" s="64" t="s">
        <v>125</v>
      </c>
      <c r="G6" s="65">
        <v>40</v>
      </c>
      <c r="H6" s="64" t="s">
        <v>125</v>
      </c>
      <c r="I6" s="65">
        <v>100</v>
      </c>
      <c r="J6" s="64" t="s">
        <v>125</v>
      </c>
      <c r="K6" s="65">
        <v>100</v>
      </c>
    </row>
    <row r="7" spans="1:15" ht="12.95" customHeight="1" x14ac:dyDescent="0.3">
      <c r="B7" s="90"/>
      <c r="C7" s="92"/>
      <c r="D7" s="110"/>
      <c r="E7" s="95"/>
      <c r="F7" s="62" t="s">
        <v>18</v>
      </c>
      <c r="G7" s="63" t="s">
        <v>19</v>
      </c>
      <c r="H7" s="62" t="s">
        <v>18</v>
      </c>
      <c r="I7" s="63" t="s">
        <v>19</v>
      </c>
      <c r="J7" s="62" t="s">
        <v>18</v>
      </c>
      <c r="K7" s="63" t="s">
        <v>19</v>
      </c>
    </row>
    <row r="8" spans="1:15" ht="12.95" customHeight="1" x14ac:dyDescent="0.3">
      <c r="B8" s="16" t="s">
        <v>0</v>
      </c>
      <c r="C8" s="9"/>
      <c r="D8" s="3" t="s">
        <v>10</v>
      </c>
      <c r="E8" s="55">
        <v>256883</v>
      </c>
      <c r="F8" s="77">
        <v>2</v>
      </c>
      <c r="G8" s="7">
        <f t="shared" ref="G8:G9" si="0">TRUNC($E8*F8,1)</f>
        <v>513766</v>
      </c>
      <c r="H8" s="77">
        <v>2</v>
      </c>
      <c r="I8" s="7">
        <f t="shared" ref="I8:I9" si="1">TRUNC($E8*H8,1)</f>
        <v>513766</v>
      </c>
      <c r="J8" s="77">
        <v>2</v>
      </c>
      <c r="K8" s="7">
        <f t="shared" ref="K8:K9" si="2">TRUNC($E8*J8,1)</f>
        <v>513766</v>
      </c>
    </row>
    <row r="9" spans="1:15" ht="12.95" customHeight="1" x14ac:dyDescent="0.3">
      <c r="B9" s="16" t="s">
        <v>3</v>
      </c>
      <c r="C9" s="9"/>
      <c r="D9" s="3" t="s">
        <v>10</v>
      </c>
      <c r="E9" s="55">
        <v>172068</v>
      </c>
      <c r="F9" s="77">
        <v>1</v>
      </c>
      <c r="G9" s="7">
        <f t="shared" si="0"/>
        <v>172068</v>
      </c>
      <c r="H9" s="77">
        <v>1</v>
      </c>
      <c r="I9" s="7">
        <f t="shared" si="1"/>
        <v>172068</v>
      </c>
      <c r="J9" s="77">
        <v>1</v>
      </c>
      <c r="K9" s="7">
        <f t="shared" si="2"/>
        <v>172068</v>
      </c>
    </row>
    <row r="10" spans="1:15" ht="12.95" customHeight="1" x14ac:dyDescent="0.3">
      <c r="B10" s="18" t="s">
        <v>12</v>
      </c>
      <c r="C10" s="36"/>
      <c r="D10" s="36"/>
      <c r="E10" s="44"/>
      <c r="F10" s="77"/>
      <c r="G10" s="42">
        <f>TRUNC(SUM(G8:G9))</f>
        <v>685834</v>
      </c>
      <c r="H10" s="77"/>
      <c r="I10" s="42">
        <f>TRUNC(SUM(I8:I9))</f>
        <v>685834</v>
      </c>
      <c r="J10" s="77"/>
      <c r="K10" s="42">
        <f>TRUNC(SUM(K8:K9))</f>
        <v>685834</v>
      </c>
    </row>
    <row r="11" spans="1:15" ht="12.95" customHeight="1" x14ac:dyDescent="0.3">
      <c r="B11" s="14"/>
      <c r="C11" s="29"/>
      <c r="D11" s="29"/>
      <c r="E11" s="32"/>
      <c r="F11" s="27"/>
      <c r="G11" s="28"/>
      <c r="H11" s="27"/>
      <c r="I11" s="28"/>
      <c r="J11" s="27"/>
      <c r="K11" s="28"/>
    </row>
    <row r="12" spans="1:15" ht="12.95" customHeight="1" x14ac:dyDescent="0.3">
      <c r="B12" s="78" t="s">
        <v>14</v>
      </c>
      <c r="C12" s="36"/>
      <c r="D12" s="36"/>
      <c r="E12" s="79"/>
      <c r="F12" s="79"/>
      <c r="G12" s="80">
        <f>SUM(G10)</f>
        <v>685834</v>
      </c>
      <c r="H12" s="79"/>
      <c r="I12" s="80">
        <f>SUM(I10)</f>
        <v>685834</v>
      </c>
      <c r="J12" s="79"/>
      <c r="K12" s="80">
        <f>SUM(K10)</f>
        <v>685834</v>
      </c>
    </row>
    <row r="13" spans="1:15" ht="12.95" customHeight="1" x14ac:dyDescent="0.3">
      <c r="B13" s="15" t="s">
        <v>126</v>
      </c>
      <c r="C13" s="81"/>
      <c r="D13" s="82"/>
      <c r="E13" s="83"/>
      <c r="F13" s="84"/>
      <c r="G13" s="85">
        <f>TRUNC(G12/G6)</f>
        <v>17145</v>
      </c>
      <c r="H13" s="84"/>
      <c r="I13" s="85">
        <f>TRUNC(I12/I6)</f>
        <v>6858</v>
      </c>
      <c r="J13" s="84"/>
      <c r="K13" s="85">
        <f>TRUNC(K12/K6)</f>
        <v>6858</v>
      </c>
      <c r="O13" s="26"/>
    </row>
    <row r="14" spans="1:15" ht="12.95" customHeight="1" x14ac:dyDescent="0.3">
      <c r="N14" s="26"/>
      <c r="O14" s="26"/>
    </row>
    <row r="15" spans="1:15" ht="12.95" customHeight="1" x14ac:dyDescent="0.3">
      <c r="B15" s="38" t="s">
        <v>134</v>
      </c>
      <c r="C15" s="39"/>
      <c r="D15" s="25"/>
      <c r="E15" s="40"/>
      <c r="F15" s="25"/>
      <c r="G15" s="25"/>
      <c r="K15" s="24"/>
      <c r="N15" s="26"/>
      <c r="O15" s="26"/>
    </row>
    <row r="16" spans="1:15" ht="12.95" customHeight="1" x14ac:dyDescent="0.3">
      <c r="B16" s="98" t="s">
        <v>4</v>
      </c>
      <c r="C16" s="98" t="s">
        <v>8</v>
      </c>
      <c r="D16" s="94" t="s">
        <v>9</v>
      </c>
      <c r="E16" s="94" t="s">
        <v>5</v>
      </c>
      <c r="F16" s="102" t="s">
        <v>132</v>
      </c>
      <c r="G16" s="103"/>
      <c r="H16" s="96" t="s">
        <v>133</v>
      </c>
      <c r="I16" s="97"/>
      <c r="J16" s="97"/>
      <c r="K16" s="97"/>
      <c r="N16" s="26"/>
      <c r="O16" s="26"/>
    </row>
    <row r="17" spans="2:15" ht="12.95" customHeight="1" x14ac:dyDescent="0.3">
      <c r="B17" s="99"/>
      <c r="C17" s="99"/>
      <c r="D17" s="101"/>
      <c r="E17" s="101"/>
      <c r="F17" s="104"/>
      <c r="G17" s="105"/>
      <c r="H17" s="96" t="s">
        <v>130</v>
      </c>
      <c r="I17" s="97"/>
      <c r="J17" s="96" t="s">
        <v>131</v>
      </c>
      <c r="K17" s="97"/>
      <c r="N17" s="26"/>
      <c r="O17" s="26"/>
    </row>
    <row r="18" spans="2:15" ht="12.95" customHeight="1" x14ac:dyDescent="0.3">
      <c r="B18" s="100"/>
      <c r="C18" s="100"/>
      <c r="D18" s="95"/>
      <c r="E18" s="95"/>
      <c r="F18" s="51" t="s">
        <v>6</v>
      </c>
      <c r="G18" s="52" t="s">
        <v>7</v>
      </c>
      <c r="H18" s="51" t="s">
        <v>6</v>
      </c>
      <c r="I18" s="52" t="s">
        <v>7</v>
      </c>
      <c r="J18" s="51" t="s">
        <v>6</v>
      </c>
      <c r="K18" s="52" t="s">
        <v>7</v>
      </c>
      <c r="N18" s="26"/>
      <c r="O18" s="26"/>
    </row>
    <row r="19" spans="2:15" ht="12.95" customHeight="1" x14ac:dyDescent="0.3">
      <c r="B19" s="11" t="s">
        <v>28</v>
      </c>
      <c r="C19" s="6"/>
      <c r="D19" s="49" t="s">
        <v>23</v>
      </c>
      <c r="E19" s="54">
        <v>0</v>
      </c>
      <c r="F19" s="53">
        <v>0.34499999999999997</v>
      </c>
      <c r="G19" s="7">
        <f t="shared" ref="G19" si="3">TRUNC($E19*F19,1)</f>
        <v>0</v>
      </c>
      <c r="H19" s="27">
        <v>0.4</v>
      </c>
      <c r="I19" s="7">
        <f t="shared" ref="I19" si="4">TRUNC($E19*H19,1)</f>
        <v>0</v>
      </c>
      <c r="J19" s="27">
        <v>0.12</v>
      </c>
      <c r="K19" s="7">
        <f t="shared" ref="K19" si="5">TRUNC($E19*J19,1)</f>
        <v>0</v>
      </c>
      <c r="N19" s="26"/>
      <c r="O19" s="26"/>
    </row>
    <row r="20" spans="2:15" ht="12.95" customHeight="1" x14ac:dyDescent="0.3">
      <c r="B20" s="20" t="s">
        <v>11</v>
      </c>
      <c r="C20" s="23"/>
      <c r="D20" s="22"/>
      <c r="E20" s="21"/>
      <c r="F20" s="27"/>
      <c r="G20" s="19">
        <f>TRUNC(SUM(G19))</f>
        <v>0</v>
      </c>
      <c r="H20" s="27"/>
      <c r="I20" s="19">
        <f>TRUNC(SUM(I19))</f>
        <v>0</v>
      </c>
      <c r="J20" s="27"/>
      <c r="K20" s="19">
        <f>TRUNC(SUM(K19))</f>
        <v>0</v>
      </c>
    </row>
    <row r="21" spans="2:15" ht="12.95" customHeight="1" x14ac:dyDescent="0.3">
      <c r="B21" s="35"/>
      <c r="C21" s="36"/>
      <c r="D21" s="36"/>
      <c r="E21" s="44"/>
      <c r="F21" s="46"/>
      <c r="G21" s="30"/>
      <c r="H21" s="46"/>
      <c r="I21" s="30"/>
      <c r="J21" s="46"/>
      <c r="K21" s="30"/>
    </row>
    <row r="22" spans="2:15" ht="12.95" customHeight="1" x14ac:dyDescent="0.3">
      <c r="B22" s="15" t="s">
        <v>14</v>
      </c>
      <c r="C22" s="37"/>
      <c r="D22" s="37"/>
      <c r="E22" s="33"/>
      <c r="F22" s="33"/>
      <c r="G22" s="34">
        <f>SUM(G20)</f>
        <v>0</v>
      </c>
      <c r="H22" s="33"/>
      <c r="I22" s="34">
        <f>SUM(I20)</f>
        <v>0</v>
      </c>
      <c r="J22" s="33"/>
      <c r="K22" s="34">
        <f>SUM(K20)</f>
        <v>0</v>
      </c>
      <c r="M22" s="26"/>
    </row>
    <row r="23" spans="2:15" ht="12.95" customHeight="1" x14ac:dyDescent="0.3">
      <c r="L23" s="26"/>
      <c r="M23" s="26"/>
    </row>
    <row r="24" spans="2:15" ht="12.95" customHeight="1" x14ac:dyDescent="0.3">
      <c r="B24" s="38" t="s">
        <v>29</v>
      </c>
      <c r="G24" s="48" t="s">
        <v>124</v>
      </c>
    </row>
    <row r="25" spans="2:15" ht="12.95" customHeight="1" x14ac:dyDescent="0.3">
      <c r="B25" s="89" t="s">
        <v>4</v>
      </c>
      <c r="C25" s="91" t="s">
        <v>16</v>
      </c>
      <c r="D25" s="93" t="s">
        <v>9</v>
      </c>
      <c r="E25" s="94" t="s">
        <v>5</v>
      </c>
      <c r="F25" s="64" t="s">
        <v>125</v>
      </c>
      <c r="G25" s="65">
        <v>40</v>
      </c>
    </row>
    <row r="26" spans="2:15" ht="12.95" customHeight="1" x14ac:dyDescent="0.3">
      <c r="B26" s="90"/>
      <c r="C26" s="92"/>
      <c r="D26" s="93"/>
      <c r="E26" s="95"/>
      <c r="F26" s="62" t="s">
        <v>18</v>
      </c>
      <c r="G26" s="63" t="s">
        <v>19</v>
      </c>
      <c r="H26" s="10"/>
    </row>
    <row r="27" spans="2:15" ht="12.95" customHeight="1" x14ac:dyDescent="0.3">
      <c r="B27" s="11" t="s">
        <v>20</v>
      </c>
      <c r="C27" s="6" t="s">
        <v>22</v>
      </c>
      <c r="D27" s="49" t="s">
        <v>15</v>
      </c>
      <c r="E27" s="12"/>
      <c r="F27" s="45">
        <v>1</v>
      </c>
      <c r="G27" s="13">
        <f>TRUNC(SUM(G30:G31)*0.03,1)</f>
        <v>20575</v>
      </c>
    </row>
    <row r="28" spans="2:15" ht="12.95" customHeight="1" x14ac:dyDescent="0.3">
      <c r="B28" s="66" t="s">
        <v>11</v>
      </c>
      <c r="C28" s="67"/>
      <c r="D28" s="68"/>
      <c r="E28" s="69"/>
      <c r="F28" s="70"/>
      <c r="G28" s="71">
        <f>TRUNC(SUM(G27:G27))</f>
        <v>20575</v>
      </c>
    </row>
    <row r="29" spans="2:15" ht="12.95" customHeight="1" x14ac:dyDescent="0.3">
      <c r="B29" s="72"/>
      <c r="C29" s="72"/>
      <c r="D29" s="73"/>
      <c r="E29" s="74"/>
      <c r="F29" s="75"/>
      <c r="G29" s="76"/>
    </row>
    <row r="30" spans="2:15" ht="12.95" customHeight="1" x14ac:dyDescent="0.3">
      <c r="B30" s="16" t="s">
        <v>0</v>
      </c>
      <c r="C30" s="9"/>
      <c r="D30" s="3" t="s">
        <v>10</v>
      </c>
      <c r="E30" s="55">
        <v>256883</v>
      </c>
      <c r="F30" s="77">
        <v>2</v>
      </c>
      <c r="G30" s="7">
        <f t="shared" ref="G30:G31" si="6">TRUNC($E30*F30,1)</f>
        <v>513766</v>
      </c>
      <c r="H30" s="10"/>
    </row>
    <row r="31" spans="2:15" ht="12.95" customHeight="1" x14ac:dyDescent="0.3">
      <c r="B31" s="16" t="s">
        <v>3</v>
      </c>
      <c r="C31" s="9"/>
      <c r="D31" s="3" t="s">
        <v>10</v>
      </c>
      <c r="E31" s="55">
        <v>172068</v>
      </c>
      <c r="F31" s="77">
        <v>1</v>
      </c>
      <c r="G31" s="7">
        <f t="shared" si="6"/>
        <v>172068</v>
      </c>
      <c r="H31" s="10"/>
    </row>
    <row r="32" spans="2:15" ht="12.95" customHeight="1" x14ac:dyDescent="0.3">
      <c r="B32" s="18" t="s">
        <v>12</v>
      </c>
      <c r="C32" s="36"/>
      <c r="D32" s="36"/>
      <c r="E32" s="44"/>
      <c r="F32" s="77"/>
      <c r="G32" s="42">
        <f>TRUNC(SUM(G30:G31))</f>
        <v>685834</v>
      </c>
      <c r="H32" s="10"/>
    </row>
    <row r="33" spans="2:8" ht="12.95" customHeight="1" x14ac:dyDescent="0.3">
      <c r="B33" s="14"/>
      <c r="C33" s="29"/>
      <c r="D33" s="29"/>
      <c r="E33" s="32"/>
      <c r="F33" s="27"/>
      <c r="G33" s="28"/>
      <c r="H33" s="10"/>
    </row>
    <row r="34" spans="2:8" ht="12.95" customHeight="1" x14ac:dyDescent="0.3">
      <c r="B34" s="78" t="s">
        <v>14</v>
      </c>
      <c r="C34" s="36"/>
      <c r="D34" s="36"/>
      <c r="E34" s="79"/>
      <c r="F34" s="79"/>
      <c r="G34" s="80">
        <f>SUM(G28+G32)</f>
        <v>706409</v>
      </c>
      <c r="H34" s="10"/>
    </row>
    <row r="35" spans="2:8" ht="12.95" customHeight="1" x14ac:dyDescent="0.3">
      <c r="B35" s="15" t="s">
        <v>126</v>
      </c>
      <c r="C35" s="81"/>
      <c r="D35" s="82"/>
      <c r="E35" s="83"/>
      <c r="F35" s="84"/>
      <c r="G35" s="85">
        <f>TRUNC(G34/G25)</f>
        <v>17660</v>
      </c>
      <c r="H35" s="10"/>
    </row>
    <row r="37" spans="2:8" ht="12.95" customHeight="1" x14ac:dyDescent="0.3">
      <c r="B37" s="38" t="s">
        <v>134</v>
      </c>
      <c r="C37" s="39"/>
      <c r="D37" s="25"/>
      <c r="E37" s="40"/>
      <c r="F37" s="25"/>
      <c r="G37" s="40"/>
    </row>
    <row r="38" spans="2:8" ht="12.95" customHeight="1" x14ac:dyDescent="0.3">
      <c r="B38" s="89" t="s">
        <v>4</v>
      </c>
      <c r="C38" s="91" t="s">
        <v>16</v>
      </c>
      <c r="D38" s="93" t="s">
        <v>9</v>
      </c>
      <c r="E38" s="94" t="s">
        <v>5</v>
      </c>
      <c r="F38" s="93" t="s">
        <v>18</v>
      </c>
      <c r="G38" s="111" t="s">
        <v>19</v>
      </c>
    </row>
    <row r="39" spans="2:8" ht="12.95" customHeight="1" x14ac:dyDescent="0.3">
      <c r="B39" s="90"/>
      <c r="C39" s="92"/>
      <c r="D39" s="93"/>
      <c r="E39" s="95"/>
      <c r="F39" s="93"/>
      <c r="G39" s="112"/>
    </row>
    <row r="40" spans="2:8" ht="12.95" customHeight="1" x14ac:dyDescent="0.3">
      <c r="B40" s="11" t="s">
        <v>30</v>
      </c>
      <c r="C40" s="6"/>
      <c r="D40" s="49" t="s">
        <v>32</v>
      </c>
      <c r="E40" s="50">
        <v>0</v>
      </c>
      <c r="F40" s="47">
        <v>1.1000000000000001</v>
      </c>
      <c r="G40" s="7">
        <f t="shared" ref="G40:G42" si="7">TRUNC($E40*F40,1)</f>
        <v>0</v>
      </c>
    </row>
    <row r="41" spans="2:8" ht="12.95" customHeight="1" x14ac:dyDescent="0.3">
      <c r="B41" s="11" t="s">
        <v>31</v>
      </c>
      <c r="C41" s="6"/>
      <c r="D41" s="49" t="s">
        <v>32</v>
      </c>
      <c r="E41" s="50">
        <v>0</v>
      </c>
      <c r="F41" s="47">
        <v>1.1000000000000001</v>
      </c>
      <c r="G41" s="7">
        <f t="shared" si="7"/>
        <v>0</v>
      </c>
    </row>
    <row r="42" spans="2:8" ht="12.95" customHeight="1" x14ac:dyDescent="0.3">
      <c r="B42" s="11" t="s">
        <v>27</v>
      </c>
      <c r="C42" s="6"/>
      <c r="D42" s="49" t="s">
        <v>23</v>
      </c>
      <c r="E42" s="50">
        <v>0</v>
      </c>
      <c r="F42" s="47">
        <v>0.1</v>
      </c>
      <c r="G42" s="7">
        <f t="shared" si="7"/>
        <v>0</v>
      </c>
    </row>
    <row r="43" spans="2:8" ht="12.95" customHeight="1" x14ac:dyDescent="0.3">
      <c r="B43" s="20" t="s">
        <v>11</v>
      </c>
      <c r="C43" s="23"/>
      <c r="D43" s="22"/>
      <c r="E43" s="21"/>
      <c r="F43" s="27"/>
      <c r="G43" s="19">
        <f>TRUNC(SUM(G40:G42))</f>
        <v>0</v>
      </c>
    </row>
    <row r="44" spans="2:8" ht="12.95" customHeight="1" x14ac:dyDescent="0.3">
      <c r="B44" s="35"/>
      <c r="C44" s="36"/>
      <c r="D44" s="36"/>
      <c r="E44" s="44"/>
      <c r="F44" s="46"/>
      <c r="G44" s="30"/>
    </row>
    <row r="45" spans="2:8" ht="12.95" customHeight="1" x14ac:dyDescent="0.3">
      <c r="B45" s="15" t="s">
        <v>14</v>
      </c>
      <c r="C45" s="37"/>
      <c r="D45" s="37"/>
      <c r="E45" s="33"/>
      <c r="F45" s="33"/>
      <c r="G45" s="34">
        <f>SUM(G43)</f>
        <v>0</v>
      </c>
    </row>
    <row r="47" spans="2:8" ht="12.95" customHeight="1" x14ac:dyDescent="0.3">
      <c r="B47" s="38" t="s">
        <v>33</v>
      </c>
      <c r="G47" s="48" t="s">
        <v>124</v>
      </c>
    </row>
    <row r="48" spans="2:8" ht="12.95" customHeight="1" x14ac:dyDescent="0.3">
      <c r="B48" s="89" t="s">
        <v>4</v>
      </c>
      <c r="C48" s="91" t="s">
        <v>16</v>
      </c>
      <c r="D48" s="93" t="s">
        <v>9</v>
      </c>
      <c r="E48" s="94" t="s">
        <v>5</v>
      </c>
      <c r="F48" s="64" t="s">
        <v>125</v>
      </c>
      <c r="G48" s="65">
        <v>50</v>
      </c>
    </row>
    <row r="49" spans="2:9" ht="12.95" customHeight="1" x14ac:dyDescent="0.3">
      <c r="B49" s="90"/>
      <c r="C49" s="92"/>
      <c r="D49" s="93"/>
      <c r="E49" s="95"/>
      <c r="F49" s="62" t="s">
        <v>18</v>
      </c>
      <c r="G49" s="63" t="s">
        <v>19</v>
      </c>
      <c r="H49" s="10"/>
    </row>
    <row r="50" spans="2:9" ht="12.95" customHeight="1" x14ac:dyDescent="0.3">
      <c r="B50" s="11" t="s">
        <v>20</v>
      </c>
      <c r="C50" s="6" t="s">
        <v>21</v>
      </c>
      <c r="D50" s="49" t="s">
        <v>15</v>
      </c>
      <c r="E50" s="12"/>
      <c r="F50" s="45">
        <v>1</v>
      </c>
      <c r="G50" s="13">
        <f>TRUNC(SUM(G53:G54)*0.02,1)</f>
        <v>13716.6</v>
      </c>
    </row>
    <row r="51" spans="2:9" ht="12.95" customHeight="1" x14ac:dyDescent="0.3">
      <c r="B51" s="66" t="s">
        <v>11</v>
      </c>
      <c r="C51" s="67"/>
      <c r="D51" s="68"/>
      <c r="E51" s="69"/>
      <c r="F51" s="70"/>
      <c r="G51" s="71">
        <f>TRUNC(SUM(G50:G50))</f>
        <v>13716</v>
      </c>
    </row>
    <row r="52" spans="2:9" ht="12.95" customHeight="1" x14ac:dyDescent="0.3">
      <c r="B52" s="72"/>
      <c r="C52" s="72"/>
      <c r="D52" s="73"/>
      <c r="E52" s="74"/>
      <c r="F52" s="75"/>
      <c r="G52" s="76"/>
    </row>
    <row r="53" spans="2:9" ht="12.95" customHeight="1" x14ac:dyDescent="0.3">
      <c r="B53" s="16" t="s">
        <v>0</v>
      </c>
      <c r="C53" s="9"/>
      <c r="D53" s="3" t="s">
        <v>10</v>
      </c>
      <c r="E53" s="55">
        <v>256883</v>
      </c>
      <c r="F53" s="77">
        <v>2</v>
      </c>
      <c r="G53" s="7">
        <f t="shared" ref="G53:G54" si="8">TRUNC($E53*F53,1)</f>
        <v>513766</v>
      </c>
      <c r="H53" s="10"/>
    </row>
    <row r="54" spans="2:9" ht="12.95" customHeight="1" x14ac:dyDescent="0.3">
      <c r="B54" s="16" t="s">
        <v>3</v>
      </c>
      <c r="C54" s="9"/>
      <c r="D54" s="3" t="s">
        <v>10</v>
      </c>
      <c r="E54" s="55">
        <v>172068</v>
      </c>
      <c r="F54" s="77">
        <v>1</v>
      </c>
      <c r="G54" s="7">
        <f t="shared" si="8"/>
        <v>172068</v>
      </c>
      <c r="H54" s="10"/>
    </row>
    <row r="55" spans="2:9" ht="12.95" customHeight="1" x14ac:dyDescent="0.3">
      <c r="B55" s="18" t="s">
        <v>12</v>
      </c>
      <c r="C55" s="36"/>
      <c r="D55" s="36"/>
      <c r="E55" s="44"/>
      <c r="F55" s="77"/>
      <c r="G55" s="42">
        <f>TRUNC(SUM(G53:G54))</f>
        <v>685834</v>
      </c>
      <c r="H55" s="10"/>
    </row>
    <row r="56" spans="2:9" ht="12.95" customHeight="1" x14ac:dyDescent="0.3">
      <c r="B56" s="14"/>
      <c r="C56" s="29"/>
      <c r="D56" s="29"/>
      <c r="E56" s="32"/>
      <c r="F56" s="27"/>
      <c r="G56" s="28"/>
      <c r="H56" s="10"/>
    </row>
    <row r="57" spans="2:9" ht="12.95" customHeight="1" x14ac:dyDescent="0.3">
      <c r="B57" s="78" t="s">
        <v>14</v>
      </c>
      <c r="C57" s="36"/>
      <c r="D57" s="36"/>
      <c r="E57" s="79"/>
      <c r="F57" s="79"/>
      <c r="G57" s="80">
        <f>SUM(G51+G55)</f>
        <v>699550</v>
      </c>
      <c r="H57" s="10"/>
    </row>
    <row r="58" spans="2:9" ht="12.95" customHeight="1" x14ac:dyDescent="0.3">
      <c r="B58" s="15" t="s">
        <v>126</v>
      </c>
      <c r="C58" s="81"/>
      <c r="D58" s="82"/>
      <c r="E58" s="83"/>
      <c r="F58" s="84"/>
      <c r="G58" s="85">
        <f>TRUNC(G57/G48)</f>
        <v>13991</v>
      </c>
      <c r="H58" s="10"/>
    </row>
    <row r="60" spans="2:9" ht="12.95" customHeight="1" x14ac:dyDescent="0.3">
      <c r="B60" s="38" t="s">
        <v>82</v>
      </c>
      <c r="I60" s="48" t="s">
        <v>124</v>
      </c>
    </row>
    <row r="61" spans="2:9" ht="12.95" customHeight="1" x14ac:dyDescent="0.3">
      <c r="B61" s="98" t="s">
        <v>4</v>
      </c>
      <c r="C61" s="98" t="s">
        <v>8</v>
      </c>
      <c r="D61" s="94" t="s">
        <v>9</v>
      </c>
      <c r="E61" s="94" t="s">
        <v>5</v>
      </c>
      <c r="F61" s="96" t="s">
        <v>83</v>
      </c>
      <c r="G61" s="97"/>
      <c r="H61" s="96" t="s">
        <v>84</v>
      </c>
      <c r="I61" s="97"/>
    </row>
    <row r="62" spans="2:9" ht="12.95" customHeight="1" x14ac:dyDescent="0.3">
      <c r="B62" s="99"/>
      <c r="C62" s="99"/>
      <c r="D62" s="101"/>
      <c r="E62" s="101"/>
      <c r="F62" s="64" t="s">
        <v>125</v>
      </c>
      <c r="G62" s="65">
        <v>27</v>
      </c>
      <c r="H62" s="64" t="s">
        <v>125</v>
      </c>
      <c r="I62" s="65">
        <v>22</v>
      </c>
    </row>
    <row r="63" spans="2:9" ht="12.95" customHeight="1" x14ac:dyDescent="0.3">
      <c r="B63" s="100"/>
      <c r="C63" s="100"/>
      <c r="D63" s="95"/>
      <c r="E63" s="95"/>
      <c r="F63" s="62" t="s">
        <v>18</v>
      </c>
      <c r="G63" s="63" t="s">
        <v>19</v>
      </c>
      <c r="H63" s="62" t="s">
        <v>18</v>
      </c>
      <c r="I63" s="63" t="s">
        <v>19</v>
      </c>
    </row>
    <row r="64" spans="2:9" ht="12.95" customHeight="1" x14ac:dyDescent="0.3">
      <c r="B64" s="11" t="s">
        <v>20</v>
      </c>
      <c r="C64" s="6" t="s">
        <v>81</v>
      </c>
      <c r="D64" s="49" t="s">
        <v>15</v>
      </c>
      <c r="E64" s="12"/>
      <c r="F64" s="45">
        <v>1</v>
      </c>
      <c r="G64" s="13">
        <f>TRUNC(SUM(G67:G68)*0.05,1)</f>
        <v>34291.699999999997</v>
      </c>
      <c r="H64" s="45">
        <v>1</v>
      </c>
      <c r="I64" s="13">
        <f>TRUNC(SUM(I67:I68)*0.05,1)</f>
        <v>34291.699999999997</v>
      </c>
    </row>
    <row r="65" spans="2:11" ht="12.95" customHeight="1" x14ac:dyDescent="0.3">
      <c r="B65" s="66" t="s">
        <v>11</v>
      </c>
      <c r="C65" s="67"/>
      <c r="D65" s="68"/>
      <c r="E65" s="69"/>
      <c r="F65" s="70"/>
      <c r="G65" s="71">
        <f>TRUNC(SUM(G64:G64))</f>
        <v>34291</v>
      </c>
      <c r="H65" s="70"/>
      <c r="I65" s="71">
        <f>TRUNC(SUM(I64:I64))</f>
        <v>34291</v>
      </c>
    </row>
    <row r="66" spans="2:11" ht="12.95" customHeight="1" x14ac:dyDescent="0.3">
      <c r="B66" s="72"/>
      <c r="C66" s="72"/>
      <c r="D66" s="73"/>
      <c r="E66" s="74"/>
      <c r="F66" s="75"/>
      <c r="G66" s="76"/>
      <c r="H66" s="75"/>
      <c r="I66" s="76"/>
    </row>
    <row r="67" spans="2:11" ht="12.95" customHeight="1" x14ac:dyDescent="0.3">
      <c r="B67" s="16" t="s">
        <v>0</v>
      </c>
      <c r="C67" s="9"/>
      <c r="D67" s="3" t="s">
        <v>10</v>
      </c>
      <c r="E67" s="55">
        <v>256883</v>
      </c>
      <c r="F67" s="77">
        <v>2</v>
      </c>
      <c r="G67" s="7">
        <f t="shared" ref="G67:G68" si="9">TRUNC($E67*F67,1)</f>
        <v>513766</v>
      </c>
      <c r="H67" s="77">
        <v>2</v>
      </c>
      <c r="I67" s="7">
        <f t="shared" ref="I67:I68" si="10">TRUNC($E67*H67,1)</f>
        <v>513766</v>
      </c>
    </row>
    <row r="68" spans="2:11" ht="12.95" customHeight="1" x14ac:dyDescent="0.3">
      <c r="B68" s="16" t="s">
        <v>3</v>
      </c>
      <c r="C68" s="9"/>
      <c r="D68" s="3" t="s">
        <v>10</v>
      </c>
      <c r="E68" s="55">
        <v>172068</v>
      </c>
      <c r="F68" s="77">
        <v>1</v>
      </c>
      <c r="G68" s="7">
        <f t="shared" si="9"/>
        <v>172068</v>
      </c>
      <c r="H68" s="77">
        <v>1</v>
      </c>
      <c r="I68" s="7">
        <f t="shared" si="10"/>
        <v>172068</v>
      </c>
    </row>
    <row r="69" spans="2:11" ht="12.95" customHeight="1" x14ac:dyDescent="0.3">
      <c r="B69" s="18" t="s">
        <v>12</v>
      </c>
      <c r="C69" s="36"/>
      <c r="D69" s="36"/>
      <c r="E69" s="44"/>
      <c r="F69" s="77"/>
      <c r="G69" s="42">
        <f>TRUNC(SUM(G67:G68))</f>
        <v>685834</v>
      </c>
      <c r="H69" s="77"/>
      <c r="I69" s="42">
        <f>TRUNC(SUM(I67:I68))</f>
        <v>685834</v>
      </c>
    </row>
    <row r="70" spans="2:11" ht="12.95" customHeight="1" x14ac:dyDescent="0.3">
      <c r="B70" s="14"/>
      <c r="C70" s="29"/>
      <c r="D70" s="29"/>
      <c r="E70" s="32"/>
      <c r="F70" s="27"/>
      <c r="G70" s="28"/>
      <c r="H70" s="27"/>
      <c r="I70" s="28"/>
    </row>
    <row r="71" spans="2:11" ht="12.95" customHeight="1" x14ac:dyDescent="0.3">
      <c r="B71" s="78" t="s">
        <v>14</v>
      </c>
      <c r="C71" s="36"/>
      <c r="D71" s="36"/>
      <c r="E71" s="79"/>
      <c r="F71" s="79"/>
      <c r="G71" s="80">
        <f>SUM(G65+G69)</f>
        <v>720125</v>
      </c>
      <c r="H71" s="79"/>
      <c r="I71" s="80">
        <f>SUM(I65+I69)</f>
        <v>720125</v>
      </c>
    </row>
    <row r="72" spans="2:11" ht="12.95" customHeight="1" x14ac:dyDescent="0.3">
      <c r="B72" s="15" t="s">
        <v>126</v>
      </c>
      <c r="C72" s="81"/>
      <c r="D72" s="82"/>
      <c r="E72" s="83"/>
      <c r="F72" s="84"/>
      <c r="G72" s="85">
        <f>TRUNC(G71/G62)</f>
        <v>26671</v>
      </c>
      <c r="H72" s="84"/>
      <c r="I72" s="85">
        <f>TRUNC(I71/I62)</f>
        <v>32732</v>
      </c>
    </row>
    <row r="74" spans="2:11" ht="12.95" customHeight="1" x14ac:dyDescent="0.3">
      <c r="B74" s="38" t="s">
        <v>147</v>
      </c>
      <c r="K74" s="48" t="s">
        <v>124</v>
      </c>
    </row>
    <row r="75" spans="2:11" ht="12.95" customHeight="1" x14ac:dyDescent="0.3">
      <c r="B75" s="98" t="s">
        <v>4</v>
      </c>
      <c r="C75" s="98" t="s">
        <v>8</v>
      </c>
      <c r="D75" s="94" t="s">
        <v>9</v>
      </c>
      <c r="E75" s="94" t="s">
        <v>5</v>
      </c>
      <c r="F75" s="96" t="s">
        <v>148</v>
      </c>
      <c r="G75" s="97"/>
      <c r="H75" s="96" t="s">
        <v>149</v>
      </c>
      <c r="I75" s="97"/>
      <c r="J75" s="96" t="s">
        <v>150</v>
      </c>
      <c r="K75" s="97"/>
    </row>
    <row r="76" spans="2:11" ht="12.95" customHeight="1" x14ac:dyDescent="0.3">
      <c r="B76" s="99"/>
      <c r="C76" s="99"/>
      <c r="D76" s="101"/>
      <c r="E76" s="101"/>
      <c r="F76" s="64" t="s">
        <v>127</v>
      </c>
      <c r="G76" s="65">
        <v>210</v>
      </c>
      <c r="H76" s="64" t="s">
        <v>127</v>
      </c>
      <c r="I76" s="65">
        <v>260</v>
      </c>
      <c r="J76" s="64" t="s">
        <v>127</v>
      </c>
      <c r="K76" s="65">
        <v>320</v>
      </c>
    </row>
    <row r="77" spans="2:11" ht="12.95" customHeight="1" x14ac:dyDescent="0.3">
      <c r="B77" s="100"/>
      <c r="C77" s="100"/>
      <c r="D77" s="95"/>
      <c r="E77" s="95"/>
      <c r="F77" s="62" t="s">
        <v>18</v>
      </c>
      <c r="G77" s="63" t="s">
        <v>19</v>
      </c>
      <c r="H77" s="62" t="s">
        <v>18</v>
      </c>
      <c r="I77" s="63" t="s">
        <v>19</v>
      </c>
      <c r="J77" s="62" t="s">
        <v>18</v>
      </c>
      <c r="K77" s="63" t="s">
        <v>19</v>
      </c>
    </row>
    <row r="78" spans="2:11" ht="12.95" customHeight="1" x14ac:dyDescent="0.3">
      <c r="B78" s="11" t="s">
        <v>20</v>
      </c>
      <c r="C78" s="6" t="s">
        <v>21</v>
      </c>
      <c r="D78" s="49" t="s">
        <v>15</v>
      </c>
      <c r="E78" s="12"/>
      <c r="F78" s="45">
        <v>1</v>
      </c>
      <c r="G78" s="13">
        <f>TRUNC(SUM(G81:G82)*0.02,1)</f>
        <v>13716.6</v>
      </c>
      <c r="H78" s="45">
        <v>1</v>
      </c>
      <c r="I78" s="13">
        <f>TRUNC(SUM(I81:I82)*0.02,1)</f>
        <v>13716.6</v>
      </c>
      <c r="J78" s="45">
        <v>1</v>
      </c>
      <c r="K78" s="13">
        <f>TRUNC(SUM(K81:K82)*0.02,1)</f>
        <v>13716.6</v>
      </c>
    </row>
    <row r="79" spans="2:11" ht="12.95" customHeight="1" x14ac:dyDescent="0.3">
      <c r="B79" s="66" t="s">
        <v>11</v>
      </c>
      <c r="C79" s="67"/>
      <c r="D79" s="68"/>
      <c r="E79" s="69"/>
      <c r="F79" s="70"/>
      <c r="G79" s="71">
        <f>TRUNC(SUM(G78:G78))</f>
        <v>13716</v>
      </c>
      <c r="H79" s="70"/>
      <c r="I79" s="71">
        <f>TRUNC(SUM(I78:I78))</f>
        <v>13716</v>
      </c>
      <c r="J79" s="70"/>
      <c r="K79" s="71">
        <f>TRUNC(SUM(K78:K78))</f>
        <v>13716</v>
      </c>
    </row>
    <row r="80" spans="2:11" ht="12.95" customHeight="1" x14ac:dyDescent="0.3">
      <c r="B80" s="72"/>
      <c r="C80" s="72"/>
      <c r="D80" s="73"/>
      <c r="E80" s="74"/>
      <c r="F80" s="75"/>
      <c r="G80" s="76"/>
      <c r="H80" s="75"/>
      <c r="I80" s="76"/>
      <c r="J80" s="75"/>
      <c r="K80" s="76"/>
    </row>
    <row r="81" spans="2:11" ht="12.95" customHeight="1" x14ac:dyDescent="0.3">
      <c r="B81" s="16" t="s">
        <v>0</v>
      </c>
      <c r="C81" s="9"/>
      <c r="D81" s="3" t="s">
        <v>10</v>
      </c>
      <c r="E81" s="55">
        <v>256883</v>
      </c>
      <c r="F81" s="77">
        <v>2</v>
      </c>
      <c r="G81" s="7">
        <f t="shared" ref="G81:G82" si="11">TRUNC($E81*F81,1)</f>
        <v>513766</v>
      </c>
      <c r="H81" s="77">
        <v>2</v>
      </c>
      <c r="I81" s="7">
        <f t="shared" ref="I81:I82" si="12">TRUNC($E81*H81,1)</f>
        <v>513766</v>
      </c>
      <c r="J81" s="77">
        <v>2</v>
      </c>
      <c r="K81" s="7">
        <f t="shared" ref="K81:K82" si="13">TRUNC($E81*J81,1)</f>
        <v>513766</v>
      </c>
    </row>
    <row r="82" spans="2:11" ht="12.95" customHeight="1" x14ac:dyDescent="0.3">
      <c r="B82" s="16" t="s">
        <v>3</v>
      </c>
      <c r="C82" s="9"/>
      <c r="D82" s="3" t="s">
        <v>10</v>
      </c>
      <c r="E82" s="55">
        <v>172068</v>
      </c>
      <c r="F82" s="77">
        <v>1</v>
      </c>
      <c r="G82" s="7">
        <f t="shared" si="11"/>
        <v>172068</v>
      </c>
      <c r="H82" s="77">
        <v>1</v>
      </c>
      <c r="I82" s="7">
        <f t="shared" si="12"/>
        <v>172068</v>
      </c>
      <c r="J82" s="77">
        <v>1</v>
      </c>
      <c r="K82" s="7">
        <f t="shared" si="13"/>
        <v>172068</v>
      </c>
    </row>
    <row r="83" spans="2:11" ht="12.95" customHeight="1" x14ac:dyDescent="0.3">
      <c r="B83" s="18" t="s">
        <v>12</v>
      </c>
      <c r="C83" s="36"/>
      <c r="D83" s="36"/>
      <c r="E83" s="44"/>
      <c r="F83" s="77"/>
      <c r="G83" s="42">
        <f>TRUNC(SUM(G81:G82))</f>
        <v>685834</v>
      </c>
      <c r="H83" s="77"/>
      <c r="I83" s="42">
        <f>TRUNC(SUM(I81:I82))</f>
        <v>685834</v>
      </c>
      <c r="J83" s="77"/>
      <c r="K83" s="42">
        <f>TRUNC(SUM(K81:K82))</f>
        <v>685834</v>
      </c>
    </row>
    <row r="84" spans="2:11" ht="12.95" customHeight="1" x14ac:dyDescent="0.3">
      <c r="B84" s="14"/>
      <c r="C84" s="29"/>
      <c r="D84" s="29"/>
      <c r="E84" s="32"/>
      <c r="F84" s="27"/>
      <c r="G84" s="28"/>
      <c r="H84" s="27"/>
      <c r="I84" s="28"/>
      <c r="J84" s="27"/>
      <c r="K84" s="28"/>
    </row>
    <row r="85" spans="2:11" ht="12.95" customHeight="1" x14ac:dyDescent="0.3">
      <c r="B85" s="78" t="s">
        <v>14</v>
      </c>
      <c r="C85" s="36"/>
      <c r="D85" s="36"/>
      <c r="E85" s="79"/>
      <c r="F85" s="79"/>
      <c r="G85" s="80">
        <f>SUM(G79+G83)</f>
        <v>699550</v>
      </c>
      <c r="H85" s="79"/>
      <c r="I85" s="80">
        <f>SUM(I79+I83)</f>
        <v>699550</v>
      </c>
      <c r="J85" s="79"/>
      <c r="K85" s="80">
        <f>SUM(K79+K83)</f>
        <v>699550</v>
      </c>
    </row>
    <row r="86" spans="2:11" ht="12.95" customHeight="1" x14ac:dyDescent="0.3">
      <c r="B86" s="15" t="s">
        <v>126</v>
      </c>
      <c r="C86" s="81"/>
      <c r="D86" s="82"/>
      <c r="E86" s="83"/>
      <c r="F86" s="84"/>
      <c r="G86" s="85">
        <f>TRUNC(G85/G76)</f>
        <v>3331</v>
      </c>
      <c r="H86" s="84"/>
      <c r="I86" s="85">
        <f>TRUNC(I85/I76)</f>
        <v>2690</v>
      </c>
      <c r="J86" s="84"/>
      <c r="K86" s="85">
        <f>TRUNC(K85/K76)</f>
        <v>2186</v>
      </c>
    </row>
    <row r="88" spans="2:11" ht="12.95" customHeight="1" x14ac:dyDescent="0.3">
      <c r="B88" s="1" t="s">
        <v>87</v>
      </c>
    </row>
    <row r="89" spans="2:11" ht="12.95" customHeight="1" x14ac:dyDescent="0.3">
      <c r="B89" s="38" t="s">
        <v>136</v>
      </c>
      <c r="G89" s="48" t="s">
        <v>124</v>
      </c>
    </row>
    <row r="90" spans="2:11" ht="12.95" customHeight="1" x14ac:dyDescent="0.3">
      <c r="B90" s="89" t="s">
        <v>4</v>
      </c>
      <c r="C90" s="91" t="s">
        <v>16</v>
      </c>
      <c r="D90" s="93" t="s">
        <v>9</v>
      </c>
      <c r="E90" s="94" t="s">
        <v>5</v>
      </c>
      <c r="F90" s="64" t="s">
        <v>125</v>
      </c>
      <c r="G90" s="65">
        <v>45</v>
      </c>
    </row>
    <row r="91" spans="2:11" ht="12.95" customHeight="1" x14ac:dyDescent="0.3">
      <c r="B91" s="90"/>
      <c r="C91" s="92"/>
      <c r="D91" s="93"/>
      <c r="E91" s="95"/>
      <c r="F91" s="62" t="s">
        <v>18</v>
      </c>
      <c r="G91" s="63" t="s">
        <v>19</v>
      </c>
      <c r="H91" s="10"/>
    </row>
    <row r="92" spans="2:11" ht="12.95" customHeight="1" x14ac:dyDescent="0.3">
      <c r="B92" s="11" t="s">
        <v>20</v>
      </c>
      <c r="C92" s="6" t="s">
        <v>22</v>
      </c>
      <c r="D92" s="49" t="s">
        <v>15</v>
      </c>
      <c r="E92" s="12"/>
      <c r="F92" s="45">
        <v>1</v>
      </c>
      <c r="G92" s="13">
        <f>TRUNC(SUM(G95:G96)*0.03,1)</f>
        <v>20575</v>
      </c>
    </row>
    <row r="93" spans="2:11" ht="12.95" customHeight="1" x14ac:dyDescent="0.3">
      <c r="B93" s="66" t="s">
        <v>11</v>
      </c>
      <c r="C93" s="67"/>
      <c r="D93" s="68"/>
      <c r="E93" s="69"/>
      <c r="F93" s="70"/>
      <c r="G93" s="71">
        <f>TRUNC(SUM(G92:G92))</f>
        <v>20575</v>
      </c>
    </row>
    <row r="94" spans="2:11" ht="12.95" customHeight="1" x14ac:dyDescent="0.3">
      <c r="B94" s="72"/>
      <c r="C94" s="72"/>
      <c r="D94" s="73"/>
      <c r="E94" s="74"/>
      <c r="F94" s="75"/>
      <c r="G94" s="76"/>
    </row>
    <row r="95" spans="2:11" ht="12.95" customHeight="1" x14ac:dyDescent="0.3">
      <c r="B95" s="16" t="s">
        <v>0</v>
      </c>
      <c r="C95" s="9"/>
      <c r="D95" s="3" t="s">
        <v>10</v>
      </c>
      <c r="E95" s="55">
        <v>256883</v>
      </c>
      <c r="F95" s="77">
        <v>2</v>
      </c>
      <c r="G95" s="7">
        <f t="shared" ref="G95:G96" si="14">TRUNC($E95*F95,1)</f>
        <v>513766</v>
      </c>
      <c r="H95" s="10"/>
    </row>
    <row r="96" spans="2:11" ht="12.95" customHeight="1" x14ac:dyDescent="0.3">
      <c r="B96" s="16" t="s">
        <v>3</v>
      </c>
      <c r="C96" s="9"/>
      <c r="D96" s="3" t="s">
        <v>10</v>
      </c>
      <c r="E96" s="55">
        <v>172068</v>
      </c>
      <c r="F96" s="77">
        <v>1</v>
      </c>
      <c r="G96" s="7">
        <f t="shared" si="14"/>
        <v>172068</v>
      </c>
      <c r="H96" s="10"/>
    </row>
    <row r="97" spans="2:9" ht="12.95" customHeight="1" x14ac:dyDescent="0.3">
      <c r="B97" s="18" t="s">
        <v>12</v>
      </c>
      <c r="C97" s="36"/>
      <c r="D97" s="36"/>
      <c r="E97" s="44"/>
      <c r="F97" s="77"/>
      <c r="G97" s="42">
        <f>TRUNC(SUM(G95:G96))</f>
        <v>685834</v>
      </c>
      <c r="H97" s="10"/>
    </row>
    <row r="98" spans="2:9" ht="12.95" customHeight="1" x14ac:dyDescent="0.3">
      <c r="B98" s="14"/>
      <c r="C98" s="29"/>
      <c r="D98" s="29"/>
      <c r="E98" s="32"/>
      <c r="F98" s="27"/>
      <c r="G98" s="28"/>
      <c r="H98" s="10"/>
    </row>
    <row r="99" spans="2:9" ht="12.95" customHeight="1" x14ac:dyDescent="0.3">
      <c r="B99" s="78" t="s">
        <v>14</v>
      </c>
      <c r="C99" s="36"/>
      <c r="D99" s="36"/>
      <c r="E99" s="79"/>
      <c r="F99" s="79"/>
      <c r="G99" s="80">
        <f>SUM(G93+G97)</f>
        <v>706409</v>
      </c>
      <c r="H99" s="10"/>
    </row>
    <row r="100" spans="2:9" ht="12.95" customHeight="1" x14ac:dyDescent="0.3">
      <c r="B100" s="15" t="s">
        <v>126</v>
      </c>
      <c r="C100" s="81"/>
      <c r="D100" s="82"/>
      <c r="E100" s="83"/>
      <c r="F100" s="84"/>
      <c r="G100" s="85">
        <f>TRUNC(G99/G90)</f>
        <v>15697</v>
      </c>
      <c r="H100" s="10"/>
    </row>
    <row r="102" spans="2:9" ht="12.95" customHeight="1" x14ac:dyDescent="0.3">
      <c r="B102" s="38" t="s">
        <v>86</v>
      </c>
      <c r="I102" s="48" t="s">
        <v>124</v>
      </c>
    </row>
    <row r="103" spans="2:9" ht="12.95" customHeight="1" x14ac:dyDescent="0.3">
      <c r="B103" s="98" t="s">
        <v>4</v>
      </c>
      <c r="C103" s="98" t="s">
        <v>8</v>
      </c>
      <c r="D103" s="94" t="s">
        <v>9</v>
      </c>
      <c r="E103" s="94" t="s">
        <v>5</v>
      </c>
      <c r="F103" s="96" t="s">
        <v>137</v>
      </c>
      <c r="G103" s="97"/>
      <c r="H103" s="96" t="s">
        <v>138</v>
      </c>
      <c r="I103" s="97"/>
    </row>
    <row r="104" spans="2:9" ht="12.95" customHeight="1" x14ac:dyDescent="0.3">
      <c r="B104" s="99"/>
      <c r="C104" s="99"/>
      <c r="D104" s="101"/>
      <c r="E104" s="101"/>
      <c r="F104" s="64" t="s">
        <v>125</v>
      </c>
      <c r="G104" s="65">
        <v>45</v>
      </c>
      <c r="H104" s="64" t="s">
        <v>125</v>
      </c>
      <c r="I104" s="65">
        <v>55</v>
      </c>
    </row>
    <row r="105" spans="2:9" ht="12.95" customHeight="1" x14ac:dyDescent="0.3">
      <c r="B105" s="100"/>
      <c r="C105" s="100"/>
      <c r="D105" s="95"/>
      <c r="E105" s="95"/>
      <c r="F105" s="62" t="s">
        <v>18</v>
      </c>
      <c r="G105" s="63" t="s">
        <v>19</v>
      </c>
      <c r="H105" s="62" t="s">
        <v>18</v>
      </c>
      <c r="I105" s="63" t="s">
        <v>19</v>
      </c>
    </row>
    <row r="106" spans="2:9" ht="12.95" customHeight="1" x14ac:dyDescent="0.3">
      <c r="B106" s="11" t="s">
        <v>20</v>
      </c>
      <c r="C106" s="6" t="s">
        <v>22</v>
      </c>
      <c r="D106" s="49" t="s">
        <v>15</v>
      </c>
      <c r="E106" s="12"/>
      <c r="F106" s="45">
        <v>1</v>
      </c>
      <c r="G106" s="13">
        <f>TRUNC(SUM(G109:G110)*0.03,1)</f>
        <v>20575</v>
      </c>
      <c r="H106" s="45">
        <v>1</v>
      </c>
      <c r="I106" s="13">
        <f>TRUNC(SUM(I109:I110)*0.03,1)</f>
        <v>20575</v>
      </c>
    </row>
    <row r="107" spans="2:9" ht="12.95" customHeight="1" x14ac:dyDescent="0.3">
      <c r="B107" s="66" t="s">
        <v>11</v>
      </c>
      <c r="C107" s="67"/>
      <c r="D107" s="68"/>
      <c r="E107" s="69"/>
      <c r="F107" s="70"/>
      <c r="G107" s="71">
        <f>TRUNC(SUM(G106:G106))</f>
        <v>20575</v>
      </c>
      <c r="H107" s="70"/>
      <c r="I107" s="71">
        <f>TRUNC(SUM(I106:I106))</f>
        <v>20575</v>
      </c>
    </row>
    <row r="108" spans="2:9" ht="12.95" customHeight="1" x14ac:dyDescent="0.3">
      <c r="B108" s="72"/>
      <c r="C108" s="72"/>
      <c r="D108" s="73"/>
      <c r="E108" s="74"/>
      <c r="F108" s="75"/>
      <c r="G108" s="76"/>
      <c r="H108" s="75"/>
      <c r="I108" s="76"/>
    </row>
    <row r="109" spans="2:9" ht="12.95" customHeight="1" x14ac:dyDescent="0.3">
      <c r="B109" s="16" t="s">
        <v>0</v>
      </c>
      <c r="C109" s="9"/>
      <c r="D109" s="3" t="s">
        <v>10</v>
      </c>
      <c r="E109" s="55">
        <v>256883</v>
      </c>
      <c r="F109" s="77">
        <v>2</v>
      </c>
      <c r="G109" s="7">
        <f t="shared" ref="G109:G110" si="15">TRUNC($E109*F109,1)</f>
        <v>513766</v>
      </c>
      <c r="H109" s="77">
        <v>2</v>
      </c>
      <c r="I109" s="7">
        <f t="shared" ref="I109:I110" si="16">TRUNC($E109*H109,1)</f>
        <v>513766</v>
      </c>
    </row>
    <row r="110" spans="2:9" ht="12.95" customHeight="1" x14ac:dyDescent="0.3">
      <c r="B110" s="16" t="s">
        <v>3</v>
      </c>
      <c r="C110" s="9"/>
      <c r="D110" s="3" t="s">
        <v>10</v>
      </c>
      <c r="E110" s="55">
        <v>172068</v>
      </c>
      <c r="F110" s="77">
        <v>1</v>
      </c>
      <c r="G110" s="7">
        <f t="shared" si="15"/>
        <v>172068</v>
      </c>
      <c r="H110" s="77">
        <v>1</v>
      </c>
      <c r="I110" s="7">
        <f t="shared" si="16"/>
        <v>172068</v>
      </c>
    </row>
    <row r="111" spans="2:9" ht="12.95" customHeight="1" x14ac:dyDescent="0.3">
      <c r="B111" s="18" t="s">
        <v>12</v>
      </c>
      <c r="C111" s="36"/>
      <c r="D111" s="36"/>
      <c r="E111" s="44"/>
      <c r="F111" s="77"/>
      <c r="G111" s="42">
        <f>TRUNC(SUM(G109:G110))</f>
        <v>685834</v>
      </c>
      <c r="H111" s="77"/>
      <c r="I111" s="42">
        <f>TRUNC(SUM(I109:I110))</f>
        <v>685834</v>
      </c>
    </row>
    <row r="112" spans="2:9" ht="12.95" customHeight="1" x14ac:dyDescent="0.3">
      <c r="B112" s="14"/>
      <c r="C112" s="29"/>
      <c r="D112" s="29"/>
      <c r="E112" s="32"/>
      <c r="F112" s="27"/>
      <c r="G112" s="28"/>
      <c r="H112" s="27"/>
      <c r="I112" s="28"/>
    </row>
    <row r="113" spans="2:11" ht="12.95" customHeight="1" x14ac:dyDescent="0.3">
      <c r="B113" s="78" t="s">
        <v>14</v>
      </c>
      <c r="C113" s="36"/>
      <c r="D113" s="36"/>
      <c r="E113" s="79"/>
      <c r="F113" s="79"/>
      <c r="G113" s="80">
        <f>SUM(G107+G111)</f>
        <v>706409</v>
      </c>
      <c r="H113" s="79"/>
      <c r="I113" s="80">
        <f>SUM(I107+I111)</f>
        <v>706409</v>
      </c>
    </row>
    <row r="114" spans="2:11" ht="12.95" customHeight="1" x14ac:dyDescent="0.3">
      <c r="B114" s="15" t="s">
        <v>126</v>
      </c>
      <c r="C114" s="81"/>
      <c r="D114" s="82"/>
      <c r="E114" s="83"/>
      <c r="F114" s="84"/>
      <c r="G114" s="85">
        <f>TRUNC(G113/G104)</f>
        <v>15697</v>
      </c>
      <c r="H114" s="84"/>
      <c r="I114" s="85">
        <f>TRUNC(I113/I104)</f>
        <v>12843</v>
      </c>
    </row>
    <row r="116" spans="2:11" ht="12.95" customHeight="1" x14ac:dyDescent="0.3">
      <c r="B116" s="38" t="s">
        <v>85</v>
      </c>
      <c r="K116" s="48" t="s">
        <v>124</v>
      </c>
    </row>
    <row r="117" spans="2:11" ht="12.95" customHeight="1" x14ac:dyDescent="0.3">
      <c r="B117" s="98" t="s">
        <v>4</v>
      </c>
      <c r="C117" s="98" t="s">
        <v>8</v>
      </c>
      <c r="D117" s="94" t="s">
        <v>9</v>
      </c>
      <c r="E117" s="94" t="s">
        <v>5</v>
      </c>
      <c r="F117" s="96" t="s">
        <v>139</v>
      </c>
      <c r="G117" s="97"/>
      <c r="H117" s="96" t="s">
        <v>140</v>
      </c>
      <c r="I117" s="97"/>
      <c r="J117" s="96" t="s">
        <v>34</v>
      </c>
      <c r="K117" s="97"/>
    </row>
    <row r="118" spans="2:11" ht="12.95" customHeight="1" x14ac:dyDescent="0.3">
      <c r="B118" s="99"/>
      <c r="C118" s="99"/>
      <c r="D118" s="101"/>
      <c r="E118" s="101"/>
      <c r="F118" s="64" t="s">
        <v>125</v>
      </c>
      <c r="G118" s="65">
        <v>45</v>
      </c>
      <c r="H118" s="64" t="s">
        <v>125</v>
      </c>
      <c r="I118" s="65">
        <v>35</v>
      </c>
      <c r="J118" s="64" t="s">
        <v>125</v>
      </c>
      <c r="K118" s="65">
        <v>25</v>
      </c>
    </row>
    <row r="119" spans="2:11" ht="12.95" customHeight="1" x14ac:dyDescent="0.3">
      <c r="B119" s="100"/>
      <c r="C119" s="100"/>
      <c r="D119" s="95"/>
      <c r="E119" s="95"/>
      <c r="F119" s="62" t="s">
        <v>18</v>
      </c>
      <c r="G119" s="63" t="s">
        <v>19</v>
      </c>
      <c r="H119" s="62" t="s">
        <v>18</v>
      </c>
      <c r="I119" s="63" t="s">
        <v>19</v>
      </c>
      <c r="J119" s="62" t="s">
        <v>18</v>
      </c>
      <c r="K119" s="63" t="s">
        <v>19</v>
      </c>
    </row>
    <row r="120" spans="2:11" ht="12.95" customHeight="1" x14ac:dyDescent="0.3">
      <c r="B120" s="11" t="s">
        <v>20</v>
      </c>
      <c r="C120" s="6" t="s">
        <v>35</v>
      </c>
      <c r="D120" s="49" t="s">
        <v>15</v>
      </c>
      <c r="E120" s="12"/>
      <c r="F120" s="45">
        <v>1</v>
      </c>
      <c r="G120" s="13">
        <f>TRUNC(SUM(G123:G124)*0.01,1)</f>
        <v>6858.3</v>
      </c>
      <c r="H120" s="45">
        <v>1</v>
      </c>
      <c r="I120" s="13">
        <f>TRUNC(SUM(I123:I124)*0.01,1)</f>
        <v>6858.3</v>
      </c>
      <c r="J120" s="45">
        <v>1</v>
      </c>
      <c r="K120" s="13">
        <f>TRUNC(SUM(K123:K124)*0.01,1)</f>
        <v>6858.3</v>
      </c>
    </row>
    <row r="121" spans="2:11" ht="12.95" customHeight="1" x14ac:dyDescent="0.3">
      <c r="B121" s="66" t="s">
        <v>11</v>
      </c>
      <c r="C121" s="67"/>
      <c r="D121" s="68"/>
      <c r="E121" s="69"/>
      <c r="F121" s="70"/>
      <c r="G121" s="71">
        <f>TRUNC(SUM(G120:G120))</f>
        <v>6858</v>
      </c>
      <c r="H121" s="70"/>
      <c r="I121" s="71">
        <f>TRUNC(SUM(I120:I120))</f>
        <v>6858</v>
      </c>
      <c r="J121" s="70"/>
      <c r="K121" s="71">
        <f>TRUNC(SUM(K120:K120))</f>
        <v>6858</v>
      </c>
    </row>
    <row r="122" spans="2:11" ht="12.95" customHeight="1" x14ac:dyDescent="0.3">
      <c r="B122" s="72"/>
      <c r="C122" s="72"/>
      <c r="D122" s="73"/>
      <c r="E122" s="74"/>
      <c r="F122" s="75"/>
      <c r="G122" s="76"/>
      <c r="H122" s="75"/>
      <c r="I122" s="76"/>
      <c r="J122" s="75"/>
      <c r="K122" s="76"/>
    </row>
    <row r="123" spans="2:11" ht="12.95" customHeight="1" x14ac:dyDescent="0.3">
      <c r="B123" s="16" t="s">
        <v>0</v>
      </c>
      <c r="C123" s="9"/>
      <c r="D123" s="3" t="s">
        <v>10</v>
      </c>
      <c r="E123" s="55">
        <v>256883</v>
      </c>
      <c r="F123" s="77">
        <v>2</v>
      </c>
      <c r="G123" s="7">
        <f t="shared" ref="G123:G124" si="17">TRUNC($E123*F123,1)</f>
        <v>513766</v>
      </c>
      <c r="H123" s="77">
        <v>2</v>
      </c>
      <c r="I123" s="7">
        <f t="shared" ref="I123:I124" si="18">TRUNC($E123*H123,1)</f>
        <v>513766</v>
      </c>
      <c r="J123" s="77">
        <v>2</v>
      </c>
      <c r="K123" s="7">
        <f t="shared" ref="K123:K124" si="19">TRUNC($E123*J123,1)</f>
        <v>513766</v>
      </c>
    </row>
    <row r="124" spans="2:11" ht="12.95" customHeight="1" x14ac:dyDescent="0.3">
      <c r="B124" s="16" t="s">
        <v>3</v>
      </c>
      <c r="C124" s="9"/>
      <c r="D124" s="3" t="s">
        <v>10</v>
      </c>
      <c r="E124" s="55">
        <v>172068</v>
      </c>
      <c r="F124" s="77">
        <v>1</v>
      </c>
      <c r="G124" s="7">
        <f t="shared" si="17"/>
        <v>172068</v>
      </c>
      <c r="H124" s="77">
        <v>1</v>
      </c>
      <c r="I124" s="7">
        <f t="shared" si="18"/>
        <v>172068</v>
      </c>
      <c r="J124" s="77">
        <v>1</v>
      </c>
      <c r="K124" s="7">
        <f t="shared" si="19"/>
        <v>172068</v>
      </c>
    </row>
    <row r="125" spans="2:11" ht="12.95" customHeight="1" x14ac:dyDescent="0.3">
      <c r="B125" s="18" t="s">
        <v>12</v>
      </c>
      <c r="C125" s="36"/>
      <c r="D125" s="36"/>
      <c r="E125" s="44"/>
      <c r="F125" s="77"/>
      <c r="G125" s="42">
        <f>TRUNC(SUM(G123:G124))</f>
        <v>685834</v>
      </c>
      <c r="H125" s="77"/>
      <c r="I125" s="42">
        <f>TRUNC(SUM(I123:I124))</f>
        <v>685834</v>
      </c>
      <c r="J125" s="77"/>
      <c r="K125" s="42">
        <f>TRUNC(SUM(K123:K124))</f>
        <v>685834</v>
      </c>
    </row>
    <row r="126" spans="2:11" ht="12.95" customHeight="1" x14ac:dyDescent="0.3">
      <c r="B126" s="14"/>
      <c r="C126" s="29"/>
      <c r="D126" s="29"/>
      <c r="E126" s="32"/>
      <c r="F126" s="27"/>
      <c r="G126" s="28"/>
      <c r="H126" s="27"/>
      <c r="I126" s="28"/>
      <c r="J126" s="27"/>
      <c r="K126" s="28"/>
    </row>
    <row r="127" spans="2:11" ht="12.95" customHeight="1" x14ac:dyDescent="0.3">
      <c r="B127" s="78" t="s">
        <v>14</v>
      </c>
      <c r="C127" s="36"/>
      <c r="D127" s="36"/>
      <c r="E127" s="79"/>
      <c r="F127" s="79"/>
      <c r="G127" s="80">
        <f>SUM(G121+G125)</f>
        <v>692692</v>
      </c>
      <c r="H127" s="79"/>
      <c r="I127" s="80">
        <f>SUM(I121+I125)</f>
        <v>692692</v>
      </c>
      <c r="J127" s="79"/>
      <c r="K127" s="80">
        <f>SUM(K121+K125)</f>
        <v>692692</v>
      </c>
    </row>
    <row r="128" spans="2:11" ht="12.95" customHeight="1" x14ac:dyDescent="0.3">
      <c r="B128" s="15" t="s">
        <v>126</v>
      </c>
      <c r="C128" s="81"/>
      <c r="D128" s="82"/>
      <c r="E128" s="83"/>
      <c r="F128" s="84"/>
      <c r="G128" s="85">
        <f>TRUNC(G127/G118)</f>
        <v>15393</v>
      </c>
      <c r="H128" s="84"/>
      <c r="I128" s="85">
        <f>TRUNC(I127/I118)</f>
        <v>19791</v>
      </c>
      <c r="J128" s="84"/>
      <c r="K128" s="85">
        <f>TRUNC(K127/K118)</f>
        <v>27707</v>
      </c>
    </row>
    <row r="130" spans="2:11" ht="12.95" customHeight="1" x14ac:dyDescent="0.3">
      <c r="B130" s="1" t="s">
        <v>88</v>
      </c>
    </row>
    <row r="131" spans="2:11" ht="12.95" customHeight="1" x14ac:dyDescent="0.3">
      <c r="B131" s="38" t="s">
        <v>89</v>
      </c>
      <c r="K131" s="48" t="s">
        <v>124</v>
      </c>
    </row>
    <row r="132" spans="2:11" ht="12.95" customHeight="1" x14ac:dyDescent="0.3">
      <c r="B132" s="98" t="s">
        <v>4</v>
      </c>
      <c r="C132" s="98" t="s">
        <v>8</v>
      </c>
      <c r="D132" s="94" t="s">
        <v>9</v>
      </c>
      <c r="E132" s="94" t="s">
        <v>5</v>
      </c>
      <c r="F132" s="96" t="s">
        <v>139</v>
      </c>
      <c r="G132" s="97"/>
      <c r="H132" s="96" t="s">
        <v>140</v>
      </c>
      <c r="I132" s="97"/>
      <c r="J132" s="96" t="s">
        <v>34</v>
      </c>
      <c r="K132" s="97"/>
    </row>
    <row r="133" spans="2:11" ht="12.95" customHeight="1" x14ac:dyDescent="0.3">
      <c r="B133" s="99"/>
      <c r="C133" s="99"/>
      <c r="D133" s="101"/>
      <c r="E133" s="101"/>
      <c r="F133" s="64" t="s">
        <v>125</v>
      </c>
      <c r="G133" s="65">
        <v>60</v>
      </c>
      <c r="H133" s="64" t="s">
        <v>125</v>
      </c>
      <c r="I133" s="65">
        <v>45</v>
      </c>
      <c r="J133" s="64" t="s">
        <v>125</v>
      </c>
      <c r="K133" s="65">
        <v>30</v>
      </c>
    </row>
    <row r="134" spans="2:11" ht="12.95" customHeight="1" x14ac:dyDescent="0.3">
      <c r="B134" s="100"/>
      <c r="C134" s="100"/>
      <c r="D134" s="95"/>
      <c r="E134" s="95"/>
      <c r="F134" s="62" t="s">
        <v>18</v>
      </c>
      <c r="G134" s="63" t="s">
        <v>19</v>
      </c>
      <c r="H134" s="62" t="s">
        <v>18</v>
      </c>
      <c r="I134" s="63" t="s">
        <v>19</v>
      </c>
      <c r="J134" s="62" t="s">
        <v>18</v>
      </c>
      <c r="K134" s="63" t="s">
        <v>19</v>
      </c>
    </row>
    <row r="135" spans="2:11" ht="12.95" customHeight="1" x14ac:dyDescent="0.3">
      <c r="B135" s="11" t="s">
        <v>20</v>
      </c>
      <c r="C135" s="6" t="s">
        <v>35</v>
      </c>
      <c r="D135" s="49" t="s">
        <v>15</v>
      </c>
      <c r="E135" s="12"/>
      <c r="F135" s="45">
        <v>1</v>
      </c>
      <c r="G135" s="13">
        <f>TRUNC(SUM(G138:G139)*0.01,1)</f>
        <v>6858.3</v>
      </c>
      <c r="H135" s="45">
        <v>1</v>
      </c>
      <c r="I135" s="13">
        <f>TRUNC(SUM(I138:I139)*0.01,1)</f>
        <v>6858.3</v>
      </c>
      <c r="J135" s="45">
        <v>1</v>
      </c>
      <c r="K135" s="13">
        <f>TRUNC(SUM(K138:K139)*0.01,1)</f>
        <v>6858.3</v>
      </c>
    </row>
    <row r="136" spans="2:11" ht="12.95" customHeight="1" x14ac:dyDescent="0.3">
      <c r="B136" s="66" t="s">
        <v>11</v>
      </c>
      <c r="C136" s="67"/>
      <c r="D136" s="68"/>
      <c r="E136" s="69"/>
      <c r="F136" s="70"/>
      <c r="G136" s="71">
        <f>TRUNC(SUM(G135:G135))</f>
        <v>6858</v>
      </c>
      <c r="H136" s="70"/>
      <c r="I136" s="71">
        <f>TRUNC(SUM(I135:I135))</f>
        <v>6858</v>
      </c>
      <c r="J136" s="70"/>
      <c r="K136" s="71">
        <f>TRUNC(SUM(K135:K135))</f>
        <v>6858</v>
      </c>
    </row>
    <row r="137" spans="2:11" ht="12.95" customHeight="1" x14ac:dyDescent="0.3">
      <c r="B137" s="72"/>
      <c r="C137" s="72"/>
      <c r="D137" s="73"/>
      <c r="E137" s="74"/>
      <c r="F137" s="75"/>
      <c r="G137" s="76"/>
      <c r="H137" s="75"/>
      <c r="I137" s="76"/>
      <c r="J137" s="75"/>
      <c r="K137" s="76"/>
    </row>
    <row r="138" spans="2:11" ht="12.95" customHeight="1" x14ac:dyDescent="0.3">
      <c r="B138" s="16" t="s">
        <v>0</v>
      </c>
      <c r="C138" s="9"/>
      <c r="D138" s="3" t="s">
        <v>10</v>
      </c>
      <c r="E138" s="55">
        <v>256883</v>
      </c>
      <c r="F138" s="77">
        <v>2</v>
      </c>
      <c r="G138" s="7">
        <f t="shared" ref="G138:G139" si="20">TRUNC($E138*F138,1)</f>
        <v>513766</v>
      </c>
      <c r="H138" s="77">
        <v>2</v>
      </c>
      <c r="I138" s="7">
        <f t="shared" ref="I138:I139" si="21">TRUNC($E138*H138,1)</f>
        <v>513766</v>
      </c>
      <c r="J138" s="77">
        <v>2</v>
      </c>
      <c r="K138" s="7">
        <f t="shared" ref="K138:K139" si="22">TRUNC($E138*J138,1)</f>
        <v>513766</v>
      </c>
    </row>
    <row r="139" spans="2:11" ht="12.95" customHeight="1" x14ac:dyDescent="0.3">
      <c r="B139" s="16" t="s">
        <v>3</v>
      </c>
      <c r="C139" s="9"/>
      <c r="D139" s="3" t="s">
        <v>10</v>
      </c>
      <c r="E139" s="55">
        <v>172068</v>
      </c>
      <c r="F139" s="77">
        <v>1</v>
      </c>
      <c r="G139" s="7">
        <f t="shared" si="20"/>
        <v>172068</v>
      </c>
      <c r="H139" s="77">
        <v>1</v>
      </c>
      <c r="I139" s="7">
        <f t="shared" si="21"/>
        <v>172068</v>
      </c>
      <c r="J139" s="77">
        <v>1</v>
      </c>
      <c r="K139" s="7">
        <f t="shared" si="22"/>
        <v>172068</v>
      </c>
    </row>
    <row r="140" spans="2:11" ht="12.95" customHeight="1" x14ac:dyDescent="0.3">
      <c r="B140" s="18" t="s">
        <v>12</v>
      </c>
      <c r="C140" s="36"/>
      <c r="D140" s="36"/>
      <c r="E140" s="44"/>
      <c r="F140" s="77"/>
      <c r="G140" s="42">
        <f>TRUNC(SUM(G138:G139))</f>
        <v>685834</v>
      </c>
      <c r="H140" s="77"/>
      <c r="I140" s="42">
        <f>TRUNC(SUM(I138:I139))</f>
        <v>685834</v>
      </c>
      <c r="J140" s="77"/>
      <c r="K140" s="42">
        <f>TRUNC(SUM(K138:K139))</f>
        <v>685834</v>
      </c>
    </row>
    <row r="141" spans="2:11" ht="12.95" customHeight="1" x14ac:dyDescent="0.3">
      <c r="B141" s="14"/>
      <c r="C141" s="29"/>
      <c r="D141" s="29"/>
      <c r="E141" s="32"/>
      <c r="F141" s="27"/>
      <c r="G141" s="28"/>
      <c r="H141" s="27"/>
      <c r="I141" s="28"/>
      <c r="J141" s="27"/>
      <c r="K141" s="28"/>
    </row>
    <row r="142" spans="2:11" ht="12.95" customHeight="1" x14ac:dyDescent="0.3">
      <c r="B142" s="78" t="s">
        <v>14</v>
      </c>
      <c r="C142" s="36"/>
      <c r="D142" s="36"/>
      <c r="E142" s="79"/>
      <c r="F142" s="79"/>
      <c r="G142" s="80">
        <f>SUM(G136+G140)</f>
        <v>692692</v>
      </c>
      <c r="H142" s="79"/>
      <c r="I142" s="80">
        <f>SUM(I136+I140)</f>
        <v>692692</v>
      </c>
      <c r="J142" s="79"/>
      <c r="K142" s="80">
        <f>SUM(K136+K140)</f>
        <v>692692</v>
      </c>
    </row>
    <row r="143" spans="2:11" ht="12.95" customHeight="1" x14ac:dyDescent="0.3">
      <c r="B143" s="15" t="s">
        <v>126</v>
      </c>
      <c r="C143" s="81"/>
      <c r="D143" s="82"/>
      <c r="E143" s="83"/>
      <c r="F143" s="84"/>
      <c r="G143" s="85">
        <f>TRUNC(G142/G133)</f>
        <v>11544</v>
      </c>
      <c r="H143" s="84"/>
      <c r="I143" s="85">
        <f>TRUNC(I142/I133)</f>
        <v>15393</v>
      </c>
      <c r="J143" s="84"/>
      <c r="K143" s="85">
        <f>TRUNC(K142/K133)</f>
        <v>23089</v>
      </c>
    </row>
    <row r="145" spans="2:8" ht="12.95" customHeight="1" x14ac:dyDescent="0.3">
      <c r="B145" s="38" t="s">
        <v>90</v>
      </c>
      <c r="G145" s="48" t="s">
        <v>124</v>
      </c>
    </row>
    <row r="146" spans="2:8" ht="12.95" customHeight="1" x14ac:dyDescent="0.3">
      <c r="B146" s="89" t="s">
        <v>4</v>
      </c>
      <c r="C146" s="91" t="s">
        <v>16</v>
      </c>
      <c r="D146" s="93" t="s">
        <v>9</v>
      </c>
      <c r="E146" s="94" t="s">
        <v>5</v>
      </c>
      <c r="F146" s="64" t="s">
        <v>127</v>
      </c>
      <c r="G146" s="65">
        <v>70</v>
      </c>
    </row>
    <row r="147" spans="2:8" ht="12.95" customHeight="1" x14ac:dyDescent="0.3">
      <c r="B147" s="90"/>
      <c r="C147" s="92"/>
      <c r="D147" s="93"/>
      <c r="E147" s="95"/>
      <c r="F147" s="62" t="s">
        <v>18</v>
      </c>
      <c r="G147" s="63" t="s">
        <v>19</v>
      </c>
      <c r="H147" s="10"/>
    </row>
    <row r="148" spans="2:8" ht="12.95" customHeight="1" x14ac:dyDescent="0.3">
      <c r="B148" s="11" t="s">
        <v>20</v>
      </c>
      <c r="C148" s="6" t="s">
        <v>35</v>
      </c>
      <c r="D148" s="49" t="s">
        <v>15</v>
      </c>
      <c r="E148" s="12"/>
      <c r="F148" s="45">
        <v>1</v>
      </c>
      <c r="G148" s="13">
        <f>TRUNC(SUM(G151:G152)*0.01,1)</f>
        <v>6858.3</v>
      </c>
    </row>
    <row r="149" spans="2:8" ht="12.95" customHeight="1" x14ac:dyDescent="0.3">
      <c r="B149" s="66" t="s">
        <v>11</v>
      </c>
      <c r="C149" s="67"/>
      <c r="D149" s="68"/>
      <c r="E149" s="69"/>
      <c r="F149" s="70"/>
      <c r="G149" s="71">
        <f>TRUNC(SUM(G148:G148))</f>
        <v>6858</v>
      </c>
    </row>
    <row r="150" spans="2:8" ht="12.95" customHeight="1" x14ac:dyDescent="0.3">
      <c r="B150" s="72"/>
      <c r="C150" s="72"/>
      <c r="D150" s="73"/>
      <c r="E150" s="74"/>
      <c r="F150" s="75"/>
      <c r="G150" s="76"/>
    </row>
    <row r="151" spans="2:8" ht="12.95" customHeight="1" x14ac:dyDescent="0.3">
      <c r="B151" s="16" t="s">
        <v>0</v>
      </c>
      <c r="C151" s="9"/>
      <c r="D151" s="3" t="s">
        <v>10</v>
      </c>
      <c r="E151" s="55">
        <v>256883</v>
      </c>
      <c r="F151" s="77">
        <v>2</v>
      </c>
      <c r="G151" s="7">
        <f t="shared" ref="G151:G152" si="23">TRUNC($E151*F151,1)</f>
        <v>513766</v>
      </c>
      <c r="H151" s="10"/>
    </row>
    <row r="152" spans="2:8" ht="12.95" customHeight="1" x14ac:dyDescent="0.3">
      <c r="B152" s="16" t="s">
        <v>3</v>
      </c>
      <c r="C152" s="9"/>
      <c r="D152" s="3" t="s">
        <v>10</v>
      </c>
      <c r="E152" s="55">
        <v>172068</v>
      </c>
      <c r="F152" s="77">
        <v>1</v>
      </c>
      <c r="G152" s="7">
        <f t="shared" si="23"/>
        <v>172068</v>
      </c>
      <c r="H152" s="10"/>
    </row>
    <row r="153" spans="2:8" ht="12.95" customHeight="1" x14ac:dyDescent="0.3">
      <c r="B153" s="18" t="s">
        <v>12</v>
      </c>
      <c r="C153" s="36"/>
      <c r="D153" s="36"/>
      <c r="E153" s="44"/>
      <c r="F153" s="77"/>
      <c r="G153" s="42">
        <f>TRUNC(SUM(G151:G152))</f>
        <v>685834</v>
      </c>
      <c r="H153" s="10"/>
    </row>
    <row r="154" spans="2:8" ht="12.95" customHeight="1" x14ac:dyDescent="0.3">
      <c r="B154" s="14"/>
      <c r="C154" s="29"/>
      <c r="D154" s="29"/>
      <c r="E154" s="32"/>
      <c r="F154" s="27"/>
      <c r="G154" s="28"/>
      <c r="H154" s="10"/>
    </row>
    <row r="155" spans="2:8" ht="12.95" customHeight="1" x14ac:dyDescent="0.3">
      <c r="B155" s="78" t="s">
        <v>14</v>
      </c>
      <c r="C155" s="36"/>
      <c r="D155" s="36"/>
      <c r="E155" s="79"/>
      <c r="F155" s="79"/>
      <c r="G155" s="80">
        <f>SUM(G149+G153)</f>
        <v>692692</v>
      </c>
      <c r="H155" s="10"/>
    </row>
    <row r="156" spans="2:8" ht="12.95" customHeight="1" x14ac:dyDescent="0.3">
      <c r="B156" s="15" t="s">
        <v>126</v>
      </c>
      <c r="C156" s="81"/>
      <c r="D156" s="82"/>
      <c r="E156" s="83"/>
      <c r="F156" s="84"/>
      <c r="G156" s="85">
        <f>TRUNC(G155/G146)</f>
        <v>9895</v>
      </c>
      <c r="H156" s="10"/>
    </row>
    <row r="158" spans="2:8" ht="12.95" customHeight="1" x14ac:dyDescent="0.3">
      <c r="B158" s="38" t="s">
        <v>134</v>
      </c>
      <c r="C158" s="39"/>
      <c r="D158" s="25"/>
      <c r="E158" s="40"/>
      <c r="F158" s="25"/>
      <c r="G158" s="40"/>
    </row>
    <row r="159" spans="2:8" ht="12.95" customHeight="1" x14ac:dyDescent="0.3">
      <c r="B159" s="89" t="s">
        <v>4</v>
      </c>
      <c r="C159" s="91" t="s">
        <v>16</v>
      </c>
      <c r="D159" s="93" t="s">
        <v>9</v>
      </c>
      <c r="E159" s="94" t="s">
        <v>5</v>
      </c>
      <c r="F159" s="93" t="s">
        <v>18</v>
      </c>
      <c r="G159" s="111" t="s">
        <v>19</v>
      </c>
    </row>
    <row r="160" spans="2:8" ht="12.95" customHeight="1" x14ac:dyDescent="0.3">
      <c r="B160" s="90"/>
      <c r="C160" s="92"/>
      <c r="D160" s="93"/>
      <c r="E160" s="95"/>
      <c r="F160" s="93"/>
      <c r="G160" s="112"/>
    </row>
    <row r="161" spans="2:9" ht="12.95" customHeight="1" x14ac:dyDescent="0.3">
      <c r="B161" s="11" t="s">
        <v>27</v>
      </c>
      <c r="C161" s="6"/>
      <c r="D161" s="49" t="s">
        <v>23</v>
      </c>
      <c r="E161" s="50">
        <v>0</v>
      </c>
      <c r="F161" s="27">
        <v>2.4300000000000002</v>
      </c>
      <c r="G161" s="7">
        <f t="shared" ref="G161" si="24">TRUNC($E161*F161,1)</f>
        <v>0</v>
      </c>
    </row>
    <row r="162" spans="2:9" ht="12.95" customHeight="1" x14ac:dyDescent="0.3">
      <c r="B162" s="20" t="s">
        <v>11</v>
      </c>
      <c r="C162" s="23"/>
      <c r="D162" s="22"/>
      <c r="E162" s="21"/>
      <c r="F162" s="27"/>
      <c r="G162" s="19">
        <f>TRUNC(SUM(G161:G161))</f>
        <v>0</v>
      </c>
    </row>
    <row r="163" spans="2:9" ht="12.95" customHeight="1" x14ac:dyDescent="0.3">
      <c r="B163" s="35"/>
      <c r="C163" s="36"/>
      <c r="D163" s="36"/>
      <c r="E163" s="44"/>
      <c r="F163" s="46"/>
      <c r="G163" s="30"/>
    </row>
    <row r="164" spans="2:9" ht="12.95" customHeight="1" x14ac:dyDescent="0.3">
      <c r="B164" s="15" t="s">
        <v>14</v>
      </c>
      <c r="C164" s="37"/>
      <c r="D164" s="37"/>
      <c r="E164" s="33"/>
      <c r="F164" s="33"/>
      <c r="G164" s="34">
        <f>SUM(G162)</f>
        <v>0</v>
      </c>
    </row>
    <row r="166" spans="2:9" ht="12.95" customHeight="1" x14ac:dyDescent="0.3">
      <c r="B166" s="2" t="s">
        <v>91</v>
      </c>
      <c r="C166" s="17"/>
      <c r="D166" s="17"/>
      <c r="E166" s="17"/>
      <c r="F166" s="17"/>
      <c r="I166" s="40" t="s">
        <v>124</v>
      </c>
    </row>
    <row r="167" spans="2:9" ht="12.95" customHeight="1" x14ac:dyDescent="0.3">
      <c r="B167" s="98" t="s">
        <v>4</v>
      </c>
      <c r="C167" s="98" t="s">
        <v>8</v>
      </c>
      <c r="D167" s="94" t="s">
        <v>9</v>
      </c>
      <c r="E167" s="94" t="s">
        <v>5</v>
      </c>
      <c r="F167" s="96" t="s">
        <v>38</v>
      </c>
      <c r="G167" s="97"/>
      <c r="H167" s="96" t="s">
        <v>39</v>
      </c>
      <c r="I167" s="97"/>
    </row>
    <row r="168" spans="2:9" ht="12.95" customHeight="1" x14ac:dyDescent="0.3">
      <c r="B168" s="99"/>
      <c r="C168" s="99"/>
      <c r="D168" s="101"/>
      <c r="E168" s="101"/>
      <c r="F168" s="64" t="s">
        <v>127</v>
      </c>
      <c r="G168" s="65">
        <v>20</v>
      </c>
      <c r="H168" s="64" t="s">
        <v>127</v>
      </c>
      <c r="I168" s="65">
        <v>80</v>
      </c>
    </row>
    <row r="169" spans="2:9" ht="12.95" customHeight="1" x14ac:dyDescent="0.3">
      <c r="B169" s="100"/>
      <c r="C169" s="100"/>
      <c r="D169" s="95"/>
      <c r="E169" s="95"/>
      <c r="F169" s="62" t="s">
        <v>18</v>
      </c>
      <c r="G169" s="63" t="s">
        <v>19</v>
      </c>
      <c r="H169" s="62" t="s">
        <v>18</v>
      </c>
      <c r="I169" s="63" t="s">
        <v>19</v>
      </c>
    </row>
    <row r="170" spans="2:9" ht="12.95" customHeight="1" x14ac:dyDescent="0.3">
      <c r="B170" s="29" t="s">
        <v>36</v>
      </c>
      <c r="C170" s="29" t="s">
        <v>37</v>
      </c>
      <c r="D170" s="41" t="s">
        <v>17</v>
      </c>
      <c r="E170" s="56">
        <v>11299</v>
      </c>
      <c r="F170" s="45">
        <v>0</v>
      </c>
      <c r="G170" s="7">
        <f t="shared" ref="G170" si="25">TRUNC($E170*F170,1)</f>
        <v>0</v>
      </c>
      <c r="H170" s="45">
        <v>8</v>
      </c>
      <c r="I170" s="7">
        <f t="shared" ref="I170" si="26">TRUNC($E170*H170,1)</f>
        <v>90392</v>
      </c>
    </row>
    <row r="171" spans="2:9" ht="12.95" customHeight="1" x14ac:dyDescent="0.3">
      <c r="B171" s="11" t="s">
        <v>20</v>
      </c>
      <c r="C171" s="6" t="s">
        <v>21</v>
      </c>
      <c r="D171" s="49" t="s">
        <v>15</v>
      </c>
      <c r="E171" s="12"/>
      <c r="F171" s="45">
        <v>1</v>
      </c>
      <c r="G171" s="13">
        <f>TRUNC(SUM(G174:G175)*0.02,1)</f>
        <v>13716.6</v>
      </c>
      <c r="H171" s="45">
        <v>1</v>
      </c>
      <c r="I171" s="13">
        <f>TRUNC(SUM(I174:I175)*0.02,1)</f>
        <v>18854.3</v>
      </c>
    </row>
    <row r="172" spans="2:9" ht="12.95" customHeight="1" x14ac:dyDescent="0.3">
      <c r="B172" s="20" t="s">
        <v>11</v>
      </c>
      <c r="C172" s="36"/>
      <c r="D172" s="36"/>
      <c r="E172" s="57"/>
      <c r="F172" s="86"/>
      <c r="G172" s="42">
        <f>TRUNC(SUM(G170:G171))</f>
        <v>13716</v>
      </c>
      <c r="H172" s="86"/>
      <c r="I172" s="42">
        <f>TRUNC(SUM(I170:I171))</f>
        <v>109246</v>
      </c>
    </row>
    <row r="173" spans="2:9" ht="12.95" customHeight="1" x14ac:dyDescent="0.3">
      <c r="B173" s="35"/>
      <c r="C173" s="36"/>
      <c r="D173" s="36"/>
      <c r="E173" s="57"/>
      <c r="F173" s="86"/>
      <c r="G173" s="30"/>
      <c r="H173" s="86"/>
      <c r="I173" s="30"/>
    </row>
    <row r="174" spans="2:9" ht="12.95" customHeight="1" x14ac:dyDescent="0.3">
      <c r="B174" s="16" t="s">
        <v>0</v>
      </c>
      <c r="C174" s="9"/>
      <c r="D174" s="3" t="s">
        <v>10</v>
      </c>
      <c r="E174" s="55">
        <v>256883</v>
      </c>
      <c r="F174" s="45">
        <v>2</v>
      </c>
      <c r="G174" s="7">
        <f t="shared" ref="G174:G176" si="27">TRUNC($E174*F174,1)</f>
        <v>513766</v>
      </c>
      <c r="H174" s="45">
        <v>3</v>
      </c>
      <c r="I174" s="7">
        <f t="shared" ref="I174:I176" si="28">TRUNC($E174*H174,1)</f>
        <v>770649</v>
      </c>
    </row>
    <row r="175" spans="2:9" ht="12.95" customHeight="1" x14ac:dyDescent="0.3">
      <c r="B175" s="16" t="s">
        <v>3</v>
      </c>
      <c r="C175" s="9"/>
      <c r="D175" s="3" t="s">
        <v>10</v>
      </c>
      <c r="E175" s="55">
        <v>172068</v>
      </c>
      <c r="F175" s="45">
        <v>1</v>
      </c>
      <c r="G175" s="7">
        <f t="shared" si="27"/>
        <v>172068</v>
      </c>
      <c r="H175" s="45">
        <v>1</v>
      </c>
      <c r="I175" s="7">
        <f t="shared" si="28"/>
        <v>172068</v>
      </c>
    </row>
    <row r="176" spans="2:9" ht="12.95" customHeight="1" x14ac:dyDescent="0.3">
      <c r="B176" s="29" t="s">
        <v>36</v>
      </c>
      <c r="C176" s="29" t="s">
        <v>37</v>
      </c>
      <c r="D176" s="41" t="s">
        <v>17</v>
      </c>
      <c r="E176" s="58">
        <v>58925</v>
      </c>
      <c r="F176" s="45">
        <v>0</v>
      </c>
      <c r="G176" s="7">
        <f t="shared" si="27"/>
        <v>0</v>
      </c>
      <c r="H176" s="45">
        <v>8</v>
      </c>
      <c r="I176" s="7">
        <f t="shared" si="28"/>
        <v>471400</v>
      </c>
    </row>
    <row r="177" spans="2:9" ht="12.95" customHeight="1" x14ac:dyDescent="0.3">
      <c r="B177" s="18" t="s">
        <v>12</v>
      </c>
      <c r="C177" s="36"/>
      <c r="D177" s="36"/>
      <c r="E177" s="57"/>
      <c r="F177" s="86"/>
      <c r="G177" s="42">
        <f>TRUNC(SUM(G174:G176))</f>
        <v>685834</v>
      </c>
      <c r="H177" s="86"/>
      <c r="I177" s="42">
        <f>TRUNC(SUM(I174:I176))</f>
        <v>1414117</v>
      </c>
    </row>
    <row r="178" spans="2:9" ht="12.95" customHeight="1" x14ac:dyDescent="0.3">
      <c r="B178" s="35"/>
      <c r="C178" s="36"/>
      <c r="D178" s="36"/>
      <c r="E178" s="57"/>
      <c r="F178" s="86"/>
      <c r="G178" s="30"/>
      <c r="H178" s="86"/>
      <c r="I178" s="30"/>
    </row>
    <row r="179" spans="2:9" ht="12.95" customHeight="1" x14ac:dyDescent="0.3">
      <c r="B179" s="29" t="s">
        <v>36</v>
      </c>
      <c r="C179" s="29" t="s">
        <v>37</v>
      </c>
      <c r="D179" s="41" t="s">
        <v>17</v>
      </c>
      <c r="E179" s="58">
        <v>53629</v>
      </c>
      <c r="F179" s="45">
        <v>0</v>
      </c>
      <c r="G179" s="7">
        <f t="shared" ref="G179" si="29">TRUNC($E179*F179,1)</f>
        <v>0</v>
      </c>
      <c r="H179" s="45">
        <v>8</v>
      </c>
      <c r="I179" s="7">
        <f t="shared" ref="I179" si="30">TRUNC($E179*H179,1)</f>
        <v>429032</v>
      </c>
    </row>
    <row r="180" spans="2:9" ht="12.95" customHeight="1" x14ac:dyDescent="0.3">
      <c r="B180" s="20" t="s">
        <v>13</v>
      </c>
      <c r="C180" s="36"/>
      <c r="D180" s="36"/>
      <c r="E180" s="57"/>
      <c r="F180" s="31"/>
      <c r="G180" s="43">
        <f>TRUNC(SUM(G179:G179))</f>
        <v>0</v>
      </c>
      <c r="H180" s="31"/>
      <c r="I180" s="43">
        <f>TRUNC(SUM(I179:I179))</f>
        <v>429032</v>
      </c>
    </row>
    <row r="181" spans="2:9" ht="12.95" customHeight="1" x14ac:dyDescent="0.3">
      <c r="B181" s="14"/>
      <c r="C181" s="29"/>
      <c r="D181" s="29"/>
      <c r="E181" s="32"/>
      <c r="F181" s="27"/>
      <c r="G181" s="28"/>
      <c r="H181" s="27"/>
      <c r="I181" s="28"/>
    </row>
    <row r="182" spans="2:9" ht="12.95" customHeight="1" x14ac:dyDescent="0.3">
      <c r="B182" s="78" t="s">
        <v>14</v>
      </c>
      <c r="C182" s="36"/>
      <c r="D182" s="36"/>
      <c r="E182" s="79"/>
      <c r="F182" s="79"/>
      <c r="G182" s="80">
        <f>SUM(G172+G177+G180)</f>
        <v>699550</v>
      </c>
      <c r="H182" s="79"/>
      <c r="I182" s="80">
        <f>SUM(I172+I177+I180)</f>
        <v>1952395</v>
      </c>
    </row>
    <row r="183" spans="2:9" ht="12.95" customHeight="1" x14ac:dyDescent="0.3">
      <c r="B183" s="15" t="s">
        <v>126</v>
      </c>
      <c r="C183" s="81"/>
      <c r="D183" s="82"/>
      <c r="E183" s="83"/>
      <c r="F183" s="84"/>
      <c r="G183" s="85">
        <f>TRUNC(G182/G168)</f>
        <v>34977</v>
      </c>
      <c r="H183" s="84"/>
      <c r="I183" s="85">
        <f>TRUNC(I182/I168)</f>
        <v>24404</v>
      </c>
    </row>
    <row r="185" spans="2:9" ht="12.95" customHeight="1" x14ac:dyDescent="0.3">
      <c r="B185" s="38" t="s">
        <v>40</v>
      </c>
      <c r="C185" s="39"/>
      <c r="D185" s="25"/>
      <c r="E185" s="40"/>
      <c r="F185" s="25"/>
      <c r="G185" s="40" t="s">
        <v>124</v>
      </c>
    </row>
    <row r="186" spans="2:9" ht="12.95" customHeight="1" x14ac:dyDescent="0.3">
      <c r="B186" s="89" t="s">
        <v>4</v>
      </c>
      <c r="C186" s="91" t="s">
        <v>16</v>
      </c>
      <c r="D186" s="93" t="s">
        <v>9</v>
      </c>
      <c r="E186" s="94" t="s">
        <v>5</v>
      </c>
      <c r="F186" s="64" t="s">
        <v>142</v>
      </c>
      <c r="G186" s="65">
        <v>37</v>
      </c>
    </row>
    <row r="187" spans="2:9" ht="12.95" customHeight="1" x14ac:dyDescent="0.3">
      <c r="B187" s="90"/>
      <c r="C187" s="92"/>
      <c r="D187" s="93"/>
      <c r="E187" s="95"/>
      <c r="F187" s="62" t="s">
        <v>18</v>
      </c>
      <c r="G187" s="63" t="s">
        <v>19</v>
      </c>
      <c r="H187" s="10"/>
    </row>
    <row r="188" spans="2:9" ht="12.95" customHeight="1" x14ac:dyDescent="0.3">
      <c r="B188" s="16" t="s">
        <v>0</v>
      </c>
      <c r="C188" s="9"/>
      <c r="D188" s="3" t="s">
        <v>10</v>
      </c>
      <c r="E188" s="55">
        <v>256883</v>
      </c>
      <c r="F188" s="77">
        <v>1</v>
      </c>
      <c r="G188" s="7">
        <f t="shared" ref="G188" si="31">TRUNC($E188*F188,1)</f>
        <v>256883</v>
      </c>
      <c r="H188" s="10"/>
    </row>
    <row r="189" spans="2:9" ht="12.95" customHeight="1" x14ac:dyDescent="0.3">
      <c r="B189" s="18" t="s">
        <v>12</v>
      </c>
      <c r="C189" s="36"/>
      <c r="D189" s="36"/>
      <c r="E189" s="44"/>
      <c r="F189" s="77"/>
      <c r="G189" s="42">
        <f>TRUNC(SUM(G188:G188))</f>
        <v>256883</v>
      </c>
      <c r="H189" s="10"/>
    </row>
    <row r="190" spans="2:9" ht="12.95" customHeight="1" x14ac:dyDescent="0.3">
      <c r="B190" s="14"/>
      <c r="C190" s="29"/>
      <c r="D190" s="29"/>
      <c r="E190" s="32"/>
      <c r="F190" s="27"/>
      <c r="G190" s="28"/>
      <c r="H190" s="10"/>
    </row>
    <row r="191" spans="2:9" ht="12.95" customHeight="1" x14ac:dyDescent="0.3">
      <c r="B191" s="78" t="s">
        <v>14</v>
      </c>
      <c r="C191" s="36"/>
      <c r="D191" s="36"/>
      <c r="E191" s="79"/>
      <c r="F191" s="79"/>
      <c r="G191" s="80">
        <f>SUM(G189)</f>
        <v>256883</v>
      </c>
      <c r="H191" s="10"/>
    </row>
    <row r="192" spans="2:9" ht="12.95" customHeight="1" x14ac:dyDescent="0.3">
      <c r="B192" s="15" t="s">
        <v>143</v>
      </c>
      <c r="C192" s="81"/>
      <c r="D192" s="82"/>
      <c r="E192" s="83"/>
      <c r="F192" s="84"/>
      <c r="G192" s="85">
        <f>TRUNC(G191/G186)</f>
        <v>6942</v>
      </c>
      <c r="H192" s="10"/>
    </row>
    <row r="194" spans="2:8" ht="12.95" customHeight="1" x14ac:dyDescent="0.3">
      <c r="B194" s="38" t="s">
        <v>92</v>
      </c>
      <c r="G194" s="48" t="s">
        <v>124</v>
      </c>
    </row>
    <row r="195" spans="2:8" ht="12.95" customHeight="1" x14ac:dyDescent="0.3">
      <c r="B195" s="89" t="s">
        <v>4</v>
      </c>
      <c r="C195" s="91" t="s">
        <v>16</v>
      </c>
      <c r="D195" s="93" t="s">
        <v>9</v>
      </c>
      <c r="E195" s="94" t="s">
        <v>5</v>
      </c>
      <c r="F195" s="64" t="s">
        <v>127</v>
      </c>
      <c r="G195" s="65">
        <v>40</v>
      </c>
    </row>
    <row r="196" spans="2:8" ht="12.95" customHeight="1" x14ac:dyDescent="0.3">
      <c r="B196" s="90"/>
      <c r="C196" s="92"/>
      <c r="D196" s="93"/>
      <c r="E196" s="95"/>
      <c r="F196" s="62" t="s">
        <v>18</v>
      </c>
      <c r="G196" s="63" t="s">
        <v>19</v>
      </c>
      <c r="H196" s="10"/>
    </row>
    <row r="197" spans="2:8" ht="12.95" customHeight="1" x14ac:dyDescent="0.3">
      <c r="B197" s="11" t="s">
        <v>20</v>
      </c>
      <c r="C197" s="6" t="s">
        <v>35</v>
      </c>
      <c r="D197" s="49" t="s">
        <v>15</v>
      </c>
      <c r="E197" s="12"/>
      <c r="F197" s="45">
        <v>1</v>
      </c>
      <c r="G197" s="13">
        <f>TRUNC(SUM(G200:G201)*0.01,1)</f>
        <v>6858.3</v>
      </c>
    </row>
    <row r="198" spans="2:8" ht="12.95" customHeight="1" x14ac:dyDescent="0.3">
      <c r="B198" s="66" t="s">
        <v>11</v>
      </c>
      <c r="C198" s="67"/>
      <c r="D198" s="68"/>
      <c r="E198" s="69"/>
      <c r="F198" s="70"/>
      <c r="G198" s="71">
        <f>TRUNC(SUM(G197:G197))</f>
        <v>6858</v>
      </c>
    </row>
    <row r="199" spans="2:8" ht="12.95" customHeight="1" x14ac:dyDescent="0.3">
      <c r="B199" s="72"/>
      <c r="C199" s="72"/>
      <c r="D199" s="73"/>
      <c r="E199" s="74"/>
      <c r="F199" s="75"/>
      <c r="G199" s="76"/>
    </row>
    <row r="200" spans="2:8" ht="12.95" customHeight="1" x14ac:dyDescent="0.3">
      <c r="B200" s="16" t="s">
        <v>0</v>
      </c>
      <c r="C200" s="9"/>
      <c r="D200" s="3" t="s">
        <v>10</v>
      </c>
      <c r="E200" s="55">
        <v>256883</v>
      </c>
      <c r="F200" s="77">
        <v>2</v>
      </c>
      <c r="G200" s="7">
        <f t="shared" ref="G200:G201" si="32">TRUNC($E200*F200,1)</f>
        <v>513766</v>
      </c>
      <c r="H200" s="10"/>
    </row>
    <row r="201" spans="2:8" ht="12.95" customHeight="1" x14ac:dyDescent="0.3">
      <c r="B201" s="16" t="s">
        <v>3</v>
      </c>
      <c r="C201" s="9"/>
      <c r="D201" s="3" t="s">
        <v>10</v>
      </c>
      <c r="E201" s="55">
        <v>172068</v>
      </c>
      <c r="F201" s="77">
        <v>1</v>
      </c>
      <c r="G201" s="7">
        <f t="shared" si="32"/>
        <v>172068</v>
      </c>
      <c r="H201" s="10"/>
    </row>
    <row r="202" spans="2:8" ht="12.95" customHeight="1" x14ac:dyDescent="0.3">
      <c r="B202" s="18" t="s">
        <v>12</v>
      </c>
      <c r="C202" s="36"/>
      <c r="D202" s="36"/>
      <c r="E202" s="44"/>
      <c r="F202" s="77"/>
      <c r="G202" s="42">
        <f>TRUNC(SUM(G200:G201))</f>
        <v>685834</v>
      </c>
      <c r="H202" s="10"/>
    </row>
    <row r="203" spans="2:8" ht="12.95" customHeight="1" x14ac:dyDescent="0.3">
      <c r="B203" s="14"/>
      <c r="C203" s="29"/>
      <c r="D203" s="29"/>
      <c r="E203" s="32"/>
      <c r="F203" s="27"/>
      <c r="G203" s="28"/>
      <c r="H203" s="10"/>
    </row>
    <row r="204" spans="2:8" ht="12.95" customHeight="1" x14ac:dyDescent="0.3">
      <c r="B204" s="78" t="s">
        <v>14</v>
      </c>
      <c r="C204" s="36"/>
      <c r="D204" s="36"/>
      <c r="E204" s="79"/>
      <c r="F204" s="79"/>
      <c r="G204" s="80">
        <f>SUM(G198+G202)</f>
        <v>692692</v>
      </c>
      <c r="H204" s="10"/>
    </row>
    <row r="205" spans="2:8" ht="12.95" customHeight="1" x14ac:dyDescent="0.3">
      <c r="B205" s="15" t="s">
        <v>126</v>
      </c>
      <c r="C205" s="81"/>
      <c r="D205" s="82"/>
      <c r="E205" s="83"/>
      <c r="F205" s="84"/>
      <c r="G205" s="85">
        <f>TRUNC(G204/G195)</f>
        <v>17317</v>
      </c>
      <c r="H205" s="10"/>
    </row>
    <row r="207" spans="2:8" ht="12.95" customHeight="1" x14ac:dyDescent="0.3">
      <c r="B207" s="38" t="s">
        <v>134</v>
      </c>
      <c r="C207" s="39"/>
      <c r="D207" s="25"/>
      <c r="E207" s="40"/>
      <c r="F207" s="25"/>
      <c r="G207" s="40"/>
    </row>
    <row r="208" spans="2:8" ht="12.95" customHeight="1" x14ac:dyDescent="0.3">
      <c r="B208" s="89" t="s">
        <v>4</v>
      </c>
      <c r="C208" s="91" t="s">
        <v>16</v>
      </c>
      <c r="D208" s="93" t="s">
        <v>9</v>
      </c>
      <c r="E208" s="94" t="s">
        <v>5</v>
      </c>
      <c r="F208" s="93" t="s">
        <v>18</v>
      </c>
      <c r="G208" s="111" t="s">
        <v>19</v>
      </c>
    </row>
    <row r="209" spans="2:11" ht="12.95" customHeight="1" x14ac:dyDescent="0.3">
      <c r="B209" s="90"/>
      <c r="C209" s="92"/>
      <c r="D209" s="93"/>
      <c r="E209" s="95"/>
      <c r="F209" s="93"/>
      <c r="G209" s="112"/>
    </row>
    <row r="210" spans="2:11" ht="12.95" customHeight="1" x14ac:dyDescent="0.3">
      <c r="B210" s="11" t="s">
        <v>43</v>
      </c>
      <c r="C210" s="6" t="s">
        <v>47</v>
      </c>
      <c r="D210" s="49" t="s">
        <v>32</v>
      </c>
      <c r="E210" s="50">
        <v>0</v>
      </c>
      <c r="F210" s="27">
        <v>1.05</v>
      </c>
      <c r="G210" s="7">
        <f t="shared" ref="G210:G212" si="33">TRUNC($E210*F210,1)</f>
        <v>0</v>
      </c>
    </row>
    <row r="211" spans="2:11" ht="12.95" customHeight="1" x14ac:dyDescent="0.3">
      <c r="B211" s="11" t="s">
        <v>44</v>
      </c>
      <c r="C211" s="6" t="s">
        <v>48</v>
      </c>
      <c r="D211" s="49" t="s">
        <v>41</v>
      </c>
      <c r="E211" s="50">
        <v>0</v>
      </c>
      <c r="F211" s="27">
        <v>3.05</v>
      </c>
      <c r="G211" s="7">
        <f t="shared" si="33"/>
        <v>0</v>
      </c>
    </row>
    <row r="212" spans="2:11" ht="12.95" customHeight="1" x14ac:dyDescent="0.3">
      <c r="B212" s="11" t="s">
        <v>27</v>
      </c>
      <c r="C212" s="6"/>
      <c r="D212" s="49" t="s">
        <v>23</v>
      </c>
      <c r="E212" s="50">
        <v>0</v>
      </c>
      <c r="F212" s="27">
        <v>0.28000000000000003</v>
      </c>
      <c r="G212" s="7">
        <f t="shared" si="33"/>
        <v>0</v>
      </c>
    </row>
    <row r="213" spans="2:11" ht="12.95" customHeight="1" x14ac:dyDescent="0.3">
      <c r="B213" s="20" t="s">
        <v>11</v>
      </c>
      <c r="C213" s="23"/>
      <c r="D213" s="22"/>
      <c r="E213" s="21"/>
      <c r="F213" s="27"/>
      <c r="G213" s="19">
        <f>TRUNC(SUM(G210:G212))</f>
        <v>0</v>
      </c>
    </row>
    <row r="214" spans="2:11" ht="12.95" customHeight="1" x14ac:dyDescent="0.3">
      <c r="B214" s="35"/>
      <c r="C214" s="36"/>
      <c r="D214" s="36"/>
      <c r="E214" s="44"/>
      <c r="F214" s="46"/>
      <c r="G214" s="30"/>
    </row>
    <row r="215" spans="2:11" ht="12.95" customHeight="1" x14ac:dyDescent="0.3">
      <c r="B215" s="15" t="s">
        <v>14</v>
      </c>
      <c r="C215" s="37"/>
      <c r="D215" s="37"/>
      <c r="E215" s="33"/>
      <c r="F215" s="33"/>
      <c r="G215" s="34">
        <f>SUM(G213)</f>
        <v>0</v>
      </c>
    </row>
    <row r="217" spans="2:11" ht="12.95" customHeight="1" x14ac:dyDescent="0.3">
      <c r="B217" s="38" t="s">
        <v>93</v>
      </c>
      <c r="C217" s="39"/>
      <c r="D217" s="25"/>
      <c r="E217" s="40"/>
      <c r="F217" s="25"/>
      <c r="G217" s="25"/>
      <c r="H217" s="25"/>
      <c r="I217" s="25"/>
      <c r="J217" s="25"/>
      <c r="K217" s="48" t="s">
        <v>124</v>
      </c>
    </row>
    <row r="218" spans="2:11" ht="12.95" customHeight="1" x14ac:dyDescent="0.3">
      <c r="B218" s="89" t="s">
        <v>4</v>
      </c>
      <c r="C218" s="91" t="s">
        <v>16</v>
      </c>
      <c r="D218" s="108" t="s">
        <v>9</v>
      </c>
      <c r="E218" s="94" t="s">
        <v>5</v>
      </c>
      <c r="F218" s="96" t="s">
        <v>50</v>
      </c>
      <c r="G218" s="97"/>
      <c r="H218" s="96" t="s">
        <v>51</v>
      </c>
      <c r="I218" s="97"/>
      <c r="J218" s="96" t="s">
        <v>53</v>
      </c>
      <c r="K218" s="97"/>
    </row>
    <row r="219" spans="2:11" ht="12.95" customHeight="1" x14ac:dyDescent="0.3">
      <c r="B219" s="106"/>
      <c r="C219" s="107"/>
      <c r="D219" s="109"/>
      <c r="E219" s="101"/>
      <c r="F219" s="64" t="s">
        <v>141</v>
      </c>
      <c r="G219" s="65">
        <v>25</v>
      </c>
      <c r="H219" s="64" t="s">
        <v>141</v>
      </c>
      <c r="I219" s="65">
        <v>200</v>
      </c>
      <c r="J219" s="64" t="s">
        <v>142</v>
      </c>
      <c r="K219" s="65">
        <v>165</v>
      </c>
    </row>
    <row r="220" spans="2:11" ht="12.95" customHeight="1" x14ac:dyDescent="0.3">
      <c r="B220" s="90"/>
      <c r="C220" s="92"/>
      <c r="D220" s="110"/>
      <c r="E220" s="95"/>
      <c r="F220" s="62" t="s">
        <v>18</v>
      </c>
      <c r="G220" s="63" t="s">
        <v>19</v>
      </c>
      <c r="H220" s="62" t="s">
        <v>18</v>
      </c>
      <c r="I220" s="63" t="s">
        <v>19</v>
      </c>
      <c r="J220" s="62" t="s">
        <v>18</v>
      </c>
      <c r="K220" s="63" t="s">
        <v>19</v>
      </c>
    </row>
    <row r="221" spans="2:11" ht="12.95" customHeight="1" x14ac:dyDescent="0.3">
      <c r="B221" s="11" t="s">
        <v>20</v>
      </c>
      <c r="C221" s="6" t="s">
        <v>21</v>
      </c>
      <c r="D221" s="49" t="s">
        <v>15</v>
      </c>
      <c r="E221" s="12"/>
      <c r="F221" s="45">
        <v>1</v>
      </c>
      <c r="G221" s="13">
        <f>TRUNC(SUM(G224:G226)*0.02,1)</f>
        <v>19575.8</v>
      </c>
      <c r="H221" s="45">
        <v>1</v>
      </c>
      <c r="I221" s="13">
        <f>TRUNC(SUM(I224:I226)*0.02,1)</f>
        <v>13716.6</v>
      </c>
      <c r="J221" s="45">
        <v>1</v>
      </c>
      <c r="K221" s="13">
        <f>TRUNC(SUM(K224:K226)*0.02,1)</f>
        <v>13716.6</v>
      </c>
    </row>
    <row r="222" spans="2:11" ht="12.95" customHeight="1" x14ac:dyDescent="0.3">
      <c r="B222" s="20" t="s">
        <v>11</v>
      </c>
      <c r="C222" s="23"/>
      <c r="D222" s="22"/>
      <c r="E222" s="21"/>
      <c r="F222" s="27"/>
      <c r="G222" s="19">
        <f>TRUNC(SUM(G221:G221))</f>
        <v>19575</v>
      </c>
      <c r="H222" s="27"/>
      <c r="I222" s="19">
        <f>TRUNC(SUM(I221:I221))</f>
        <v>13716</v>
      </c>
      <c r="J222" s="27"/>
      <c r="K222" s="19">
        <f>TRUNC(SUM(K221:K221))</f>
        <v>13716</v>
      </c>
    </row>
    <row r="223" spans="2:11" ht="12.95" customHeight="1" x14ac:dyDescent="0.3">
      <c r="B223" s="35"/>
      <c r="C223" s="36"/>
      <c r="D223" s="36"/>
      <c r="E223" s="44"/>
      <c r="F223" s="46"/>
      <c r="G223" s="30"/>
      <c r="H223" s="46"/>
      <c r="I223" s="30"/>
      <c r="J223" s="46"/>
      <c r="K223" s="30"/>
    </row>
    <row r="224" spans="2:11" ht="12.95" customHeight="1" x14ac:dyDescent="0.3">
      <c r="B224" s="16" t="s">
        <v>49</v>
      </c>
      <c r="C224" s="9"/>
      <c r="D224" s="3" t="s">
        <v>10</v>
      </c>
      <c r="E224" s="55">
        <v>268908</v>
      </c>
      <c r="F224" s="45">
        <v>3</v>
      </c>
      <c r="G224" s="7">
        <f t="shared" ref="G224:G226" si="34">TRUNC($E224*F224,1)</f>
        <v>806724</v>
      </c>
      <c r="H224" s="45">
        <v>0</v>
      </c>
      <c r="I224" s="7">
        <f t="shared" ref="I224:I226" si="35">TRUNC($E224*H224,1)</f>
        <v>0</v>
      </c>
      <c r="J224" s="45">
        <v>0</v>
      </c>
      <c r="K224" s="7">
        <f t="shared" ref="K224:K226" si="36">TRUNC($E224*J224,1)</f>
        <v>0</v>
      </c>
    </row>
    <row r="225" spans="2:11" ht="12.95" customHeight="1" x14ac:dyDescent="0.3">
      <c r="B225" s="16" t="s">
        <v>0</v>
      </c>
      <c r="C225" s="9"/>
      <c r="D225" s="3" t="s">
        <v>10</v>
      </c>
      <c r="E225" s="55">
        <v>256883</v>
      </c>
      <c r="F225" s="45">
        <v>0</v>
      </c>
      <c r="G225" s="7">
        <f t="shared" si="34"/>
        <v>0</v>
      </c>
      <c r="H225" s="45">
        <v>2</v>
      </c>
      <c r="I225" s="7">
        <f t="shared" si="35"/>
        <v>513766</v>
      </c>
      <c r="J225" s="45">
        <v>2</v>
      </c>
      <c r="K225" s="7">
        <f t="shared" si="36"/>
        <v>513766</v>
      </c>
    </row>
    <row r="226" spans="2:11" ht="12.95" customHeight="1" x14ac:dyDescent="0.3">
      <c r="B226" s="16" t="s">
        <v>3</v>
      </c>
      <c r="C226" s="9"/>
      <c r="D226" s="3" t="s">
        <v>10</v>
      </c>
      <c r="E226" s="55">
        <v>172068</v>
      </c>
      <c r="F226" s="45">
        <v>1</v>
      </c>
      <c r="G226" s="7">
        <f t="shared" si="34"/>
        <v>172068</v>
      </c>
      <c r="H226" s="45">
        <v>1</v>
      </c>
      <c r="I226" s="7">
        <f t="shared" si="35"/>
        <v>172068</v>
      </c>
      <c r="J226" s="45">
        <v>1</v>
      </c>
      <c r="K226" s="7">
        <f t="shared" si="36"/>
        <v>172068</v>
      </c>
    </row>
    <row r="227" spans="2:11" ht="12.95" customHeight="1" x14ac:dyDescent="0.3">
      <c r="B227" s="18" t="s">
        <v>12</v>
      </c>
      <c r="C227" s="36"/>
      <c r="D227" s="36"/>
      <c r="E227" s="44"/>
      <c r="F227" s="46"/>
      <c r="G227" s="42">
        <f>TRUNC(SUM(G224:G226))</f>
        <v>978792</v>
      </c>
      <c r="H227" s="46"/>
      <c r="I227" s="42">
        <f>TRUNC(SUM(I224:I226))</f>
        <v>685834</v>
      </c>
      <c r="J227" s="46"/>
      <c r="K227" s="42">
        <f>TRUNC(SUM(K224:K226))</f>
        <v>685834</v>
      </c>
    </row>
    <row r="228" spans="2:11" ht="12.95" customHeight="1" x14ac:dyDescent="0.3">
      <c r="B228" s="35"/>
      <c r="C228" s="36"/>
      <c r="D228" s="36"/>
      <c r="E228" s="44"/>
      <c r="F228" s="46"/>
      <c r="G228" s="30"/>
      <c r="H228" s="46"/>
      <c r="I228" s="30"/>
      <c r="J228" s="46"/>
      <c r="K228" s="30"/>
    </row>
    <row r="229" spans="2:11" ht="12.95" customHeight="1" x14ac:dyDescent="0.3">
      <c r="B229" s="78" t="s">
        <v>14</v>
      </c>
      <c r="C229" s="36"/>
      <c r="D229" s="36"/>
      <c r="E229" s="79"/>
      <c r="F229" s="79"/>
      <c r="G229" s="80">
        <f>SUM(G222+G227)</f>
        <v>998367</v>
      </c>
      <c r="H229" s="79"/>
      <c r="I229" s="80">
        <f>SUM(I222+I227)</f>
        <v>699550</v>
      </c>
      <c r="J229" s="79"/>
      <c r="K229" s="80">
        <f>SUM(K222+K227)</f>
        <v>699550</v>
      </c>
    </row>
    <row r="230" spans="2:11" ht="12.95" customHeight="1" x14ac:dyDescent="0.3">
      <c r="B230" s="15" t="s">
        <v>143</v>
      </c>
      <c r="C230" s="81"/>
      <c r="D230" s="82"/>
      <c r="E230" s="83"/>
      <c r="F230" s="84"/>
      <c r="G230" s="85">
        <f>TRUNC(G229/G219)</f>
        <v>39934</v>
      </c>
      <c r="H230" s="84"/>
      <c r="I230" s="85">
        <f>TRUNC(I229/I219)</f>
        <v>3497</v>
      </c>
      <c r="J230" s="84"/>
      <c r="K230" s="85">
        <f>TRUNC(K229/K219)</f>
        <v>4239</v>
      </c>
    </row>
    <row r="232" spans="2:11" ht="12.95" customHeight="1" x14ac:dyDescent="0.3">
      <c r="B232" s="38" t="s">
        <v>134</v>
      </c>
      <c r="C232" s="39"/>
      <c r="D232" s="25"/>
      <c r="E232" s="40"/>
      <c r="F232" s="25"/>
      <c r="G232" s="25"/>
      <c r="H232" s="25"/>
      <c r="I232" s="25"/>
      <c r="J232" s="25"/>
      <c r="K232" s="40"/>
    </row>
    <row r="233" spans="2:11" ht="12.95" customHeight="1" x14ac:dyDescent="0.3">
      <c r="B233" s="89" t="s">
        <v>4</v>
      </c>
      <c r="C233" s="91" t="s">
        <v>16</v>
      </c>
      <c r="D233" s="93" t="s">
        <v>9</v>
      </c>
      <c r="E233" s="94" t="s">
        <v>5</v>
      </c>
      <c r="F233" s="96" t="s">
        <v>50</v>
      </c>
      <c r="G233" s="97"/>
      <c r="H233" s="96" t="s">
        <v>51</v>
      </c>
      <c r="I233" s="97"/>
      <c r="J233" s="96" t="s">
        <v>53</v>
      </c>
      <c r="K233" s="97"/>
    </row>
    <row r="234" spans="2:11" ht="12.95" customHeight="1" x14ac:dyDescent="0.3">
      <c r="B234" s="90"/>
      <c r="C234" s="92"/>
      <c r="D234" s="93"/>
      <c r="E234" s="95"/>
      <c r="F234" s="51" t="s">
        <v>6</v>
      </c>
      <c r="G234" s="52" t="s">
        <v>7</v>
      </c>
      <c r="H234" s="51" t="s">
        <v>6</v>
      </c>
      <c r="I234" s="52" t="s">
        <v>7</v>
      </c>
      <c r="J234" s="51" t="s">
        <v>6</v>
      </c>
      <c r="K234" s="52" t="s">
        <v>7</v>
      </c>
    </row>
    <row r="235" spans="2:11" ht="12.95" customHeight="1" x14ac:dyDescent="0.3">
      <c r="B235" s="11" t="s">
        <v>54</v>
      </c>
      <c r="C235" s="6"/>
      <c r="D235" s="49" t="s">
        <v>46</v>
      </c>
      <c r="E235" s="50">
        <v>0</v>
      </c>
      <c r="F235" s="27">
        <v>1</v>
      </c>
      <c r="G235" s="7">
        <f t="shared" ref="G235:G239" si="37">TRUNC($E235*F235,1)</f>
        <v>0</v>
      </c>
      <c r="H235" s="27">
        <v>0</v>
      </c>
      <c r="I235" s="7">
        <f t="shared" ref="I235:I239" si="38">TRUNC($E235*H235,1)</f>
        <v>0</v>
      </c>
      <c r="J235" s="27">
        <v>0</v>
      </c>
      <c r="K235" s="7">
        <f t="shared" ref="K235:K239" si="39">TRUNC($E235*J235,1)</f>
        <v>0</v>
      </c>
    </row>
    <row r="236" spans="2:11" ht="12.95" customHeight="1" x14ac:dyDescent="0.3">
      <c r="B236" s="11" t="s">
        <v>55</v>
      </c>
      <c r="C236" s="6"/>
      <c r="D236" s="49" t="s">
        <v>46</v>
      </c>
      <c r="E236" s="50">
        <v>0</v>
      </c>
      <c r="F236" s="27">
        <v>0</v>
      </c>
      <c r="G236" s="7">
        <f t="shared" si="37"/>
        <v>0</v>
      </c>
      <c r="H236" s="27">
        <v>1.04</v>
      </c>
      <c r="I236" s="7">
        <f t="shared" si="38"/>
        <v>0</v>
      </c>
      <c r="J236" s="27">
        <v>0</v>
      </c>
      <c r="K236" s="7">
        <f t="shared" si="39"/>
        <v>0</v>
      </c>
    </row>
    <row r="237" spans="2:11" ht="12.95" customHeight="1" x14ac:dyDescent="0.3">
      <c r="B237" s="11" t="s">
        <v>52</v>
      </c>
      <c r="C237" s="6"/>
      <c r="D237" s="49" t="s">
        <v>46</v>
      </c>
      <c r="E237" s="50">
        <v>0</v>
      </c>
      <c r="F237" s="27">
        <v>0</v>
      </c>
      <c r="G237" s="7">
        <f t="shared" si="37"/>
        <v>0</v>
      </c>
      <c r="H237" s="27">
        <v>0</v>
      </c>
      <c r="I237" s="7">
        <f t="shared" si="38"/>
        <v>0</v>
      </c>
      <c r="J237" s="27">
        <v>1.04</v>
      </c>
      <c r="K237" s="7">
        <f t="shared" si="39"/>
        <v>0</v>
      </c>
    </row>
    <row r="238" spans="2:11" ht="12.95" customHeight="1" x14ac:dyDescent="0.3">
      <c r="B238" s="11" t="s">
        <v>27</v>
      </c>
      <c r="C238" s="6" t="s">
        <v>144</v>
      </c>
      <c r="D238" s="49" t="s">
        <v>57</v>
      </c>
      <c r="E238" s="50">
        <v>0</v>
      </c>
      <c r="F238" s="59">
        <v>0</v>
      </c>
      <c r="G238" s="7">
        <f t="shared" si="37"/>
        <v>0</v>
      </c>
      <c r="H238" s="87">
        <v>2.8500000000000001E-2</v>
      </c>
      <c r="I238" s="7">
        <f t="shared" si="38"/>
        <v>0</v>
      </c>
      <c r="J238" s="87">
        <v>2.8500000000000001E-2</v>
      </c>
      <c r="K238" s="7">
        <f>TRUNC($E238*J238,1)</f>
        <v>0</v>
      </c>
    </row>
    <row r="239" spans="2:11" ht="12.95" customHeight="1" x14ac:dyDescent="0.3">
      <c r="B239" s="11" t="s">
        <v>56</v>
      </c>
      <c r="C239" s="6" t="s">
        <v>58</v>
      </c>
      <c r="D239" s="49"/>
      <c r="E239" s="50"/>
      <c r="F239" s="59">
        <v>0</v>
      </c>
      <c r="G239" s="7">
        <f t="shared" si="37"/>
        <v>0</v>
      </c>
      <c r="H239" s="59">
        <v>0</v>
      </c>
      <c r="I239" s="7">
        <f t="shared" si="38"/>
        <v>0</v>
      </c>
      <c r="J239" s="59">
        <v>0</v>
      </c>
      <c r="K239" s="7">
        <f t="shared" si="39"/>
        <v>0</v>
      </c>
    </row>
    <row r="240" spans="2:11" ht="12.95" customHeight="1" x14ac:dyDescent="0.3">
      <c r="B240" s="20" t="s">
        <v>11</v>
      </c>
      <c r="C240" s="23"/>
      <c r="D240" s="22"/>
      <c r="E240" s="21"/>
      <c r="F240" s="27"/>
      <c r="G240" s="19">
        <f>TRUNC(SUM(G235:G239))</f>
        <v>0</v>
      </c>
      <c r="H240" s="27"/>
      <c r="I240" s="19">
        <f>TRUNC(SUM(I235:I239))</f>
        <v>0</v>
      </c>
      <c r="J240" s="27"/>
      <c r="K240" s="19">
        <f>TRUNC(SUM(K235:K239))</f>
        <v>0</v>
      </c>
    </row>
    <row r="241" spans="2:11" ht="12.95" customHeight="1" x14ac:dyDescent="0.3">
      <c r="B241" s="35"/>
      <c r="C241" s="36"/>
      <c r="D241" s="36"/>
      <c r="E241" s="44"/>
      <c r="F241" s="46"/>
      <c r="G241" s="30"/>
      <c r="H241" s="46"/>
      <c r="I241" s="30"/>
      <c r="J241" s="46"/>
      <c r="K241" s="30"/>
    </row>
    <row r="242" spans="2:11" ht="12.95" customHeight="1" x14ac:dyDescent="0.3">
      <c r="B242" s="15" t="s">
        <v>14</v>
      </c>
      <c r="C242" s="37"/>
      <c r="D242" s="37"/>
      <c r="E242" s="33"/>
      <c r="F242" s="33"/>
      <c r="G242" s="34">
        <f>SUM(G240)</f>
        <v>0</v>
      </c>
      <c r="H242" s="33"/>
      <c r="I242" s="34">
        <f>SUM(I240)</f>
        <v>0</v>
      </c>
      <c r="J242" s="33"/>
      <c r="K242" s="34">
        <f>SUM(K240)</f>
        <v>0</v>
      </c>
    </row>
    <row r="244" spans="2:11" ht="12.95" customHeight="1" x14ac:dyDescent="0.3">
      <c r="B244" s="38" t="s">
        <v>95</v>
      </c>
      <c r="C244" s="39"/>
      <c r="D244" s="25"/>
      <c r="E244" s="40"/>
      <c r="F244" s="25"/>
      <c r="G244" s="40" t="s">
        <v>42</v>
      </c>
    </row>
    <row r="245" spans="2:11" ht="12.95" customHeight="1" x14ac:dyDescent="0.3">
      <c r="B245" s="89" t="s">
        <v>4</v>
      </c>
      <c r="C245" s="91" t="s">
        <v>16</v>
      </c>
      <c r="D245" s="93" t="s">
        <v>9</v>
      </c>
      <c r="E245" s="94" t="s">
        <v>5</v>
      </c>
      <c r="F245" s="93" t="s">
        <v>18</v>
      </c>
      <c r="G245" s="111" t="s">
        <v>19</v>
      </c>
    </row>
    <row r="246" spans="2:11" ht="12.95" customHeight="1" x14ac:dyDescent="0.3">
      <c r="B246" s="90"/>
      <c r="C246" s="92"/>
      <c r="D246" s="93"/>
      <c r="E246" s="95"/>
      <c r="F246" s="93"/>
      <c r="G246" s="112"/>
    </row>
    <row r="247" spans="2:11" ht="12.95" customHeight="1" x14ac:dyDescent="0.3">
      <c r="B247" s="11" t="s">
        <v>20</v>
      </c>
      <c r="C247" s="6" t="s">
        <v>21</v>
      </c>
      <c r="D247" s="49" t="s">
        <v>15</v>
      </c>
      <c r="E247" s="12"/>
      <c r="F247" s="45">
        <v>1</v>
      </c>
      <c r="G247" s="13">
        <f>TRUNC(SUM(G250:G251)*0.02,1)</f>
        <v>342.6</v>
      </c>
    </row>
    <row r="248" spans="2:11" ht="12.95" customHeight="1" x14ac:dyDescent="0.3">
      <c r="B248" s="20" t="s">
        <v>11</v>
      </c>
      <c r="C248" s="23"/>
      <c r="D248" s="22"/>
      <c r="E248" s="21"/>
      <c r="F248" s="27"/>
      <c r="G248" s="19">
        <f>TRUNC(SUM(G247:G247))</f>
        <v>342</v>
      </c>
    </row>
    <row r="249" spans="2:11" ht="12.95" customHeight="1" x14ac:dyDescent="0.3">
      <c r="B249" s="35"/>
      <c r="C249" s="36"/>
      <c r="D249" s="36"/>
      <c r="E249" s="44"/>
      <c r="F249" s="46"/>
      <c r="G249" s="30"/>
    </row>
    <row r="250" spans="2:11" ht="12.95" customHeight="1" x14ac:dyDescent="0.3">
      <c r="B250" s="16" t="s">
        <v>0</v>
      </c>
      <c r="C250" s="9"/>
      <c r="D250" s="3" t="s">
        <v>10</v>
      </c>
      <c r="E250" s="55">
        <v>256883</v>
      </c>
      <c r="F250" s="53">
        <v>0.06</v>
      </c>
      <c r="G250" s="7">
        <f t="shared" ref="G250:G251" si="40">TRUNC($E250*F250,1)</f>
        <v>15412.9</v>
      </c>
    </row>
    <row r="251" spans="2:11" ht="12.95" customHeight="1" x14ac:dyDescent="0.3">
      <c r="B251" s="16" t="s">
        <v>3</v>
      </c>
      <c r="C251" s="9"/>
      <c r="D251" s="3" t="s">
        <v>10</v>
      </c>
      <c r="E251" s="55">
        <v>172068</v>
      </c>
      <c r="F251" s="53">
        <v>0.01</v>
      </c>
      <c r="G251" s="7">
        <f t="shared" si="40"/>
        <v>1720.6</v>
      </c>
    </row>
    <row r="252" spans="2:11" ht="12.95" customHeight="1" x14ac:dyDescent="0.3">
      <c r="B252" s="18" t="s">
        <v>12</v>
      </c>
      <c r="C252" s="36"/>
      <c r="D252" s="36"/>
      <c r="E252" s="44"/>
      <c r="F252" s="46"/>
      <c r="G252" s="42">
        <f>TRUNC(SUM(G250:G251))</f>
        <v>17133</v>
      </c>
    </row>
    <row r="253" spans="2:11" ht="12.95" customHeight="1" x14ac:dyDescent="0.3">
      <c r="B253" s="35"/>
      <c r="C253" s="36"/>
      <c r="D253" s="36"/>
      <c r="E253" s="44"/>
      <c r="F253" s="46"/>
      <c r="G253" s="30"/>
    </row>
    <row r="254" spans="2:11" ht="12.95" customHeight="1" x14ac:dyDescent="0.3">
      <c r="B254" s="15" t="s">
        <v>14</v>
      </c>
      <c r="C254" s="37"/>
      <c r="D254" s="37"/>
      <c r="E254" s="33"/>
      <c r="F254" s="33"/>
      <c r="G254" s="34">
        <f>SUM(G248+G252)</f>
        <v>17475</v>
      </c>
    </row>
    <row r="256" spans="2:11" ht="12.95" customHeight="1" x14ac:dyDescent="0.3">
      <c r="B256" s="38" t="s">
        <v>94</v>
      </c>
      <c r="C256" s="39"/>
      <c r="D256" s="25"/>
      <c r="E256" s="40"/>
      <c r="F256" s="25"/>
      <c r="G256" s="25"/>
      <c r="H256" s="25"/>
      <c r="I256" s="48" t="s">
        <v>124</v>
      </c>
    </row>
    <row r="257" spans="2:9" ht="12.95" customHeight="1" x14ac:dyDescent="0.3">
      <c r="B257" s="89" t="s">
        <v>4</v>
      </c>
      <c r="C257" s="91" t="s">
        <v>16</v>
      </c>
      <c r="D257" s="108" t="s">
        <v>9</v>
      </c>
      <c r="E257" s="94" t="s">
        <v>5</v>
      </c>
      <c r="F257" s="96" t="s">
        <v>59</v>
      </c>
      <c r="G257" s="97"/>
      <c r="H257" s="96" t="s">
        <v>60</v>
      </c>
      <c r="I257" s="97"/>
    </row>
    <row r="258" spans="2:9" ht="12.95" customHeight="1" x14ac:dyDescent="0.3">
      <c r="B258" s="106"/>
      <c r="C258" s="107"/>
      <c r="D258" s="109"/>
      <c r="E258" s="101"/>
      <c r="F258" s="64" t="s">
        <v>127</v>
      </c>
      <c r="G258" s="65">
        <v>85</v>
      </c>
      <c r="H258" s="64" t="s">
        <v>125</v>
      </c>
      <c r="I258" s="65">
        <v>95</v>
      </c>
    </row>
    <row r="259" spans="2:9" ht="12.95" customHeight="1" x14ac:dyDescent="0.3">
      <c r="B259" s="90"/>
      <c r="C259" s="92"/>
      <c r="D259" s="110"/>
      <c r="E259" s="95"/>
      <c r="F259" s="62" t="s">
        <v>18</v>
      </c>
      <c r="G259" s="63" t="s">
        <v>19</v>
      </c>
      <c r="H259" s="62" t="s">
        <v>18</v>
      </c>
      <c r="I259" s="63" t="s">
        <v>19</v>
      </c>
    </row>
    <row r="260" spans="2:9" ht="12.95" customHeight="1" x14ac:dyDescent="0.3">
      <c r="B260" s="16" t="s">
        <v>1</v>
      </c>
      <c r="C260" s="9"/>
      <c r="D260" s="3" t="s">
        <v>10</v>
      </c>
      <c r="E260" s="55">
        <v>227614</v>
      </c>
      <c r="F260" s="45">
        <v>2</v>
      </c>
      <c r="G260" s="7">
        <f t="shared" ref="G260:G261" si="41">TRUNC($E260*F260,1)</f>
        <v>455228</v>
      </c>
      <c r="H260" s="45">
        <v>2</v>
      </c>
      <c r="I260" s="7">
        <f t="shared" ref="I260:I261" si="42">TRUNC($E260*H260,1)</f>
        <v>455228</v>
      </c>
    </row>
    <row r="261" spans="2:9" ht="12.95" customHeight="1" x14ac:dyDescent="0.3">
      <c r="B261" s="16" t="s">
        <v>3</v>
      </c>
      <c r="C261" s="9"/>
      <c r="D261" s="3" t="s">
        <v>10</v>
      </c>
      <c r="E261" s="55">
        <v>172068</v>
      </c>
      <c r="F261" s="45">
        <v>1</v>
      </c>
      <c r="G261" s="7">
        <f t="shared" si="41"/>
        <v>172068</v>
      </c>
      <c r="H261" s="45">
        <v>1</v>
      </c>
      <c r="I261" s="7">
        <f t="shared" si="42"/>
        <v>172068</v>
      </c>
    </row>
    <row r="262" spans="2:9" ht="12.95" customHeight="1" x14ac:dyDescent="0.3">
      <c r="B262" s="18" t="s">
        <v>12</v>
      </c>
      <c r="C262" s="36"/>
      <c r="D262" s="36"/>
      <c r="E262" s="44"/>
      <c r="F262" s="46"/>
      <c r="G262" s="42">
        <f>TRUNC(SUM(G260:G261))</f>
        <v>627296</v>
      </c>
      <c r="H262" s="46"/>
      <c r="I262" s="42">
        <f>TRUNC(SUM(I260:I261))</f>
        <v>627296</v>
      </c>
    </row>
    <row r="263" spans="2:9" ht="12.95" customHeight="1" x14ac:dyDescent="0.3">
      <c r="B263" s="35"/>
      <c r="C263" s="36"/>
      <c r="D263" s="36"/>
      <c r="E263" s="44"/>
      <c r="F263" s="46"/>
      <c r="G263" s="30"/>
      <c r="H263" s="46"/>
      <c r="I263" s="30"/>
    </row>
    <row r="264" spans="2:9" ht="12.95" customHeight="1" x14ac:dyDescent="0.3">
      <c r="B264" s="78" t="s">
        <v>14</v>
      </c>
      <c r="C264" s="36"/>
      <c r="D264" s="36"/>
      <c r="E264" s="79"/>
      <c r="F264" s="79"/>
      <c r="G264" s="80">
        <f>SUM(G262)</f>
        <v>627296</v>
      </c>
      <c r="H264" s="79"/>
      <c r="I264" s="80">
        <f>SUM(I262)</f>
        <v>627296</v>
      </c>
    </row>
    <row r="265" spans="2:9" ht="12.95" customHeight="1" x14ac:dyDescent="0.3">
      <c r="B265" s="15" t="s">
        <v>126</v>
      </c>
      <c r="C265" s="81"/>
      <c r="D265" s="82"/>
      <c r="E265" s="83"/>
      <c r="F265" s="84"/>
      <c r="G265" s="85">
        <f>TRUNC(G264/G258)</f>
        <v>7379</v>
      </c>
      <c r="H265" s="84"/>
      <c r="I265" s="85">
        <f>TRUNC(I264/I258)</f>
        <v>6603</v>
      </c>
    </row>
    <row r="267" spans="2:9" ht="12.95" customHeight="1" x14ac:dyDescent="0.3">
      <c r="B267" s="38" t="s">
        <v>134</v>
      </c>
      <c r="C267" s="39"/>
      <c r="D267" s="25"/>
      <c r="E267" s="40"/>
      <c r="F267" s="25"/>
      <c r="G267" s="25"/>
      <c r="H267" s="25"/>
      <c r="I267" s="40"/>
    </row>
    <row r="268" spans="2:9" ht="12.95" customHeight="1" x14ac:dyDescent="0.3">
      <c r="B268" s="89" t="s">
        <v>4</v>
      </c>
      <c r="C268" s="91" t="s">
        <v>16</v>
      </c>
      <c r="D268" s="93" t="s">
        <v>9</v>
      </c>
      <c r="E268" s="94" t="s">
        <v>5</v>
      </c>
      <c r="F268" s="96" t="s">
        <v>59</v>
      </c>
      <c r="G268" s="97"/>
      <c r="H268" s="96" t="s">
        <v>60</v>
      </c>
      <c r="I268" s="97"/>
    </row>
    <row r="269" spans="2:9" ht="12.95" customHeight="1" x14ac:dyDescent="0.3">
      <c r="B269" s="90"/>
      <c r="C269" s="92"/>
      <c r="D269" s="93"/>
      <c r="E269" s="95"/>
      <c r="F269" s="51" t="s">
        <v>6</v>
      </c>
      <c r="G269" s="52" t="s">
        <v>7</v>
      </c>
      <c r="H269" s="51" t="s">
        <v>6</v>
      </c>
      <c r="I269" s="52" t="s">
        <v>7</v>
      </c>
    </row>
    <row r="270" spans="2:9" ht="12.95" customHeight="1" x14ac:dyDescent="0.3">
      <c r="B270" s="11" t="s">
        <v>61</v>
      </c>
      <c r="C270" s="6"/>
      <c r="D270" s="49" t="s">
        <v>32</v>
      </c>
      <c r="E270" s="50">
        <v>0</v>
      </c>
      <c r="F270" s="47">
        <v>0.8</v>
      </c>
      <c r="G270" s="7">
        <f t="shared" ref="G270:G272" si="43">TRUNC($E270*F270,1)</f>
        <v>0</v>
      </c>
      <c r="H270" s="47">
        <v>1.2</v>
      </c>
      <c r="I270" s="7">
        <f t="shared" ref="I270:I272" si="44">TRUNC($E270*H270,1)</f>
        <v>0</v>
      </c>
    </row>
    <row r="271" spans="2:9" ht="12.95" customHeight="1" x14ac:dyDescent="0.3">
      <c r="B271" s="11" t="s">
        <v>62</v>
      </c>
      <c r="C271" s="6"/>
      <c r="D271" s="49" t="s">
        <v>32</v>
      </c>
      <c r="E271" s="50">
        <v>0</v>
      </c>
      <c r="F271" s="47">
        <v>1.2</v>
      </c>
      <c r="G271" s="7">
        <f t="shared" si="43"/>
        <v>0</v>
      </c>
      <c r="H271" s="47">
        <v>1.2</v>
      </c>
      <c r="I271" s="7">
        <f t="shared" si="44"/>
        <v>0</v>
      </c>
    </row>
    <row r="272" spans="2:9" ht="12.95" customHeight="1" x14ac:dyDescent="0.3">
      <c r="B272" s="11" t="s">
        <v>63</v>
      </c>
      <c r="C272" s="6"/>
      <c r="D272" s="49" t="s">
        <v>23</v>
      </c>
      <c r="E272" s="50">
        <v>0</v>
      </c>
      <c r="F272" s="47">
        <v>0.3</v>
      </c>
      <c r="G272" s="7">
        <f t="shared" si="43"/>
        <v>0</v>
      </c>
      <c r="H272" s="47">
        <v>0.3</v>
      </c>
      <c r="I272" s="7">
        <f t="shared" si="44"/>
        <v>0</v>
      </c>
    </row>
    <row r="273" spans="2:9" ht="12.95" customHeight="1" x14ac:dyDescent="0.3">
      <c r="B273" s="20" t="s">
        <v>11</v>
      </c>
      <c r="C273" s="23"/>
      <c r="D273" s="22"/>
      <c r="E273" s="21"/>
      <c r="F273" s="27"/>
      <c r="G273" s="19">
        <f>TRUNC(SUM(G270:G272))</f>
        <v>0</v>
      </c>
      <c r="H273" s="27"/>
      <c r="I273" s="19">
        <f>TRUNC(SUM(I270:I272))</f>
        <v>0</v>
      </c>
    </row>
    <row r="274" spans="2:9" ht="12.95" customHeight="1" x14ac:dyDescent="0.3">
      <c r="B274" s="35"/>
      <c r="C274" s="36"/>
      <c r="D274" s="36"/>
      <c r="E274" s="44"/>
      <c r="F274" s="46"/>
      <c r="G274" s="30"/>
      <c r="H274" s="46"/>
      <c r="I274" s="30"/>
    </row>
    <row r="275" spans="2:9" ht="12.95" customHeight="1" x14ac:dyDescent="0.3">
      <c r="B275" s="15" t="s">
        <v>14</v>
      </c>
      <c r="C275" s="37"/>
      <c r="D275" s="37"/>
      <c r="E275" s="33"/>
      <c r="F275" s="33"/>
      <c r="G275" s="34">
        <f>SUM(G273)</f>
        <v>0</v>
      </c>
      <c r="H275" s="33"/>
      <c r="I275" s="34">
        <f>SUM(I273)</f>
        <v>0</v>
      </c>
    </row>
    <row r="277" spans="2:9" ht="12.95" customHeight="1" x14ac:dyDescent="0.3">
      <c r="B277" s="38" t="s">
        <v>151</v>
      </c>
      <c r="G277" s="48" t="s">
        <v>124</v>
      </c>
    </row>
    <row r="278" spans="2:9" ht="12.95" customHeight="1" x14ac:dyDescent="0.3">
      <c r="B278" s="89" t="s">
        <v>4</v>
      </c>
      <c r="C278" s="91" t="s">
        <v>16</v>
      </c>
      <c r="D278" s="93" t="s">
        <v>9</v>
      </c>
      <c r="E278" s="94" t="s">
        <v>5</v>
      </c>
      <c r="F278" s="64" t="s">
        <v>125</v>
      </c>
      <c r="G278" s="65">
        <v>50</v>
      </c>
    </row>
    <row r="279" spans="2:9" ht="12.95" customHeight="1" x14ac:dyDescent="0.3">
      <c r="B279" s="90"/>
      <c r="C279" s="92"/>
      <c r="D279" s="93"/>
      <c r="E279" s="95"/>
      <c r="F279" s="62" t="s">
        <v>18</v>
      </c>
      <c r="G279" s="63" t="s">
        <v>19</v>
      </c>
      <c r="H279" s="10"/>
    </row>
    <row r="280" spans="2:9" ht="12.95" customHeight="1" x14ac:dyDescent="0.3">
      <c r="B280" s="11" t="s">
        <v>20</v>
      </c>
      <c r="C280" s="6" t="s">
        <v>22</v>
      </c>
      <c r="D280" s="49" t="s">
        <v>15</v>
      </c>
      <c r="E280" s="12"/>
      <c r="F280" s="45">
        <v>1</v>
      </c>
      <c r="G280" s="13">
        <f>TRUNC(SUM(G283:G284)*0.03,1)</f>
        <v>20575</v>
      </c>
    </row>
    <row r="281" spans="2:9" ht="12.95" customHeight="1" x14ac:dyDescent="0.3">
      <c r="B281" s="66" t="s">
        <v>11</v>
      </c>
      <c r="C281" s="67"/>
      <c r="D281" s="68"/>
      <c r="E281" s="69"/>
      <c r="F281" s="70"/>
      <c r="G281" s="71">
        <f>TRUNC(SUM(G280:G280))</f>
        <v>20575</v>
      </c>
    </row>
    <row r="282" spans="2:9" ht="12.95" customHeight="1" x14ac:dyDescent="0.3">
      <c r="B282" s="72"/>
      <c r="C282" s="72"/>
      <c r="D282" s="73"/>
      <c r="E282" s="74"/>
      <c r="F282" s="75"/>
      <c r="G282" s="76"/>
    </row>
    <row r="283" spans="2:9" ht="12.95" customHeight="1" x14ac:dyDescent="0.3">
      <c r="B283" s="16" t="s">
        <v>0</v>
      </c>
      <c r="C283" s="9"/>
      <c r="D283" s="3" t="s">
        <v>10</v>
      </c>
      <c r="E283" s="55">
        <v>256883</v>
      </c>
      <c r="F283" s="77">
        <v>2</v>
      </c>
      <c r="G283" s="7">
        <f t="shared" ref="G283:G284" si="45">TRUNC($E283*F283,1)</f>
        <v>513766</v>
      </c>
      <c r="H283" s="10"/>
    </row>
    <row r="284" spans="2:9" ht="12.95" customHeight="1" x14ac:dyDescent="0.3">
      <c r="B284" s="16" t="s">
        <v>3</v>
      </c>
      <c r="C284" s="9"/>
      <c r="D284" s="3" t="s">
        <v>10</v>
      </c>
      <c r="E284" s="55">
        <v>172068</v>
      </c>
      <c r="F284" s="77">
        <v>1</v>
      </c>
      <c r="G284" s="7">
        <f t="shared" si="45"/>
        <v>172068</v>
      </c>
      <c r="H284" s="10"/>
    </row>
    <row r="285" spans="2:9" ht="12.95" customHeight="1" x14ac:dyDescent="0.3">
      <c r="B285" s="18" t="s">
        <v>12</v>
      </c>
      <c r="C285" s="36"/>
      <c r="D285" s="36"/>
      <c r="E285" s="44"/>
      <c r="F285" s="77"/>
      <c r="G285" s="42">
        <f>TRUNC(SUM(G283:G284))</f>
        <v>685834</v>
      </c>
      <c r="H285" s="10"/>
    </row>
    <row r="286" spans="2:9" ht="12.95" customHeight="1" x14ac:dyDescent="0.3">
      <c r="B286" s="14"/>
      <c r="C286" s="29"/>
      <c r="D286" s="29"/>
      <c r="E286" s="32"/>
      <c r="F286" s="27"/>
      <c r="G286" s="28"/>
      <c r="H286" s="10"/>
    </row>
    <row r="287" spans="2:9" ht="12.95" customHeight="1" x14ac:dyDescent="0.3">
      <c r="B287" s="78" t="s">
        <v>14</v>
      </c>
      <c r="C287" s="36"/>
      <c r="D287" s="36"/>
      <c r="E287" s="79"/>
      <c r="F287" s="79"/>
      <c r="G287" s="80">
        <f>SUM(G281+G285)</f>
        <v>706409</v>
      </c>
      <c r="H287" s="10"/>
    </row>
    <row r="288" spans="2:9" ht="12.95" customHeight="1" x14ac:dyDescent="0.3">
      <c r="B288" s="15" t="s">
        <v>126</v>
      </c>
      <c r="C288" s="81"/>
      <c r="D288" s="82"/>
      <c r="E288" s="83"/>
      <c r="F288" s="84"/>
      <c r="G288" s="85">
        <f>TRUNC(G287/G278)</f>
        <v>14128</v>
      </c>
      <c r="H288" s="10"/>
    </row>
    <row r="290" spans="2:15" ht="12.95" customHeight="1" x14ac:dyDescent="0.3">
      <c r="B290" s="1" t="s">
        <v>96</v>
      </c>
    </row>
    <row r="291" spans="2:15" ht="12.95" customHeight="1" x14ac:dyDescent="0.3">
      <c r="B291" s="2" t="s">
        <v>102</v>
      </c>
      <c r="C291" s="39"/>
      <c r="D291" s="25"/>
      <c r="E291" s="40"/>
      <c r="F291" s="25"/>
      <c r="G291" s="25"/>
      <c r="H291" s="25"/>
      <c r="I291" s="25"/>
      <c r="J291" s="25"/>
      <c r="K291" s="25"/>
      <c r="L291" s="25"/>
      <c r="M291" s="48" t="s">
        <v>124</v>
      </c>
      <c r="O291" s="10"/>
    </row>
    <row r="292" spans="2:15" ht="12.95" customHeight="1" x14ac:dyDescent="0.3">
      <c r="B292" s="89" t="s">
        <v>4</v>
      </c>
      <c r="C292" s="91" t="s">
        <v>16</v>
      </c>
      <c r="D292" s="108" t="s">
        <v>9</v>
      </c>
      <c r="E292" s="94" t="s">
        <v>5</v>
      </c>
      <c r="F292" s="96" t="s">
        <v>97</v>
      </c>
      <c r="G292" s="97"/>
      <c r="H292" s="97"/>
      <c r="I292" s="97"/>
      <c r="J292" s="97"/>
      <c r="K292" s="97"/>
      <c r="L292" s="97"/>
      <c r="M292" s="97"/>
      <c r="N292" s="10"/>
      <c r="O292" s="10"/>
    </row>
    <row r="293" spans="2:15" ht="12.95" customHeight="1" x14ac:dyDescent="0.3">
      <c r="B293" s="106"/>
      <c r="C293" s="107"/>
      <c r="D293" s="109"/>
      <c r="E293" s="101"/>
      <c r="F293" s="96" t="s">
        <v>98</v>
      </c>
      <c r="G293" s="97"/>
      <c r="H293" s="96" t="s">
        <v>99</v>
      </c>
      <c r="I293" s="97"/>
      <c r="J293" s="96" t="s">
        <v>100</v>
      </c>
      <c r="K293" s="97"/>
      <c r="L293" s="96" t="s">
        <v>101</v>
      </c>
      <c r="M293" s="97"/>
    </row>
    <row r="294" spans="2:15" ht="12.95" customHeight="1" x14ac:dyDescent="0.3">
      <c r="B294" s="106"/>
      <c r="C294" s="107"/>
      <c r="D294" s="109"/>
      <c r="E294" s="101"/>
      <c r="F294" s="64" t="s">
        <v>127</v>
      </c>
      <c r="G294" s="65">
        <v>100</v>
      </c>
      <c r="H294" s="64" t="s">
        <v>125</v>
      </c>
      <c r="I294" s="65">
        <v>90</v>
      </c>
      <c r="J294" s="64" t="s">
        <v>127</v>
      </c>
      <c r="K294" s="65">
        <v>85</v>
      </c>
      <c r="L294" s="64" t="s">
        <v>125</v>
      </c>
      <c r="M294" s="65">
        <v>80</v>
      </c>
    </row>
    <row r="295" spans="2:15" ht="12.95" customHeight="1" x14ac:dyDescent="0.3">
      <c r="B295" s="90"/>
      <c r="C295" s="92"/>
      <c r="D295" s="110"/>
      <c r="E295" s="95"/>
      <c r="F295" s="62" t="s">
        <v>18</v>
      </c>
      <c r="G295" s="63" t="s">
        <v>19</v>
      </c>
      <c r="H295" s="62" t="s">
        <v>18</v>
      </c>
      <c r="I295" s="63" t="s">
        <v>19</v>
      </c>
      <c r="J295" s="62" t="s">
        <v>18</v>
      </c>
      <c r="K295" s="63" t="s">
        <v>19</v>
      </c>
      <c r="L295" s="62" t="s">
        <v>18</v>
      </c>
      <c r="M295" s="63" t="s">
        <v>19</v>
      </c>
    </row>
    <row r="296" spans="2:15" ht="12.95" customHeight="1" x14ac:dyDescent="0.3">
      <c r="B296" s="16" t="s">
        <v>0</v>
      </c>
      <c r="C296" s="9"/>
      <c r="D296" s="3" t="s">
        <v>10</v>
      </c>
      <c r="E296" s="55">
        <v>256883</v>
      </c>
      <c r="F296" s="45">
        <v>2</v>
      </c>
      <c r="G296" s="7">
        <f t="shared" ref="G296:G297" si="46">TRUNC($E296*F296,1)</f>
        <v>513766</v>
      </c>
      <c r="H296" s="45">
        <v>2</v>
      </c>
      <c r="I296" s="7">
        <f t="shared" ref="I296:I297" si="47">TRUNC($E296*H296,1)</f>
        <v>513766</v>
      </c>
      <c r="J296" s="45">
        <v>2</v>
      </c>
      <c r="K296" s="7">
        <f t="shared" ref="K296:K297" si="48">TRUNC($E296*J296,1)</f>
        <v>513766</v>
      </c>
      <c r="L296" s="45">
        <v>2</v>
      </c>
      <c r="M296" s="7">
        <f t="shared" ref="M296:M297" si="49">TRUNC($E296*L296,1)</f>
        <v>513766</v>
      </c>
    </row>
    <row r="297" spans="2:15" ht="12.95" customHeight="1" x14ac:dyDescent="0.3">
      <c r="B297" s="16" t="s">
        <v>3</v>
      </c>
      <c r="C297" s="9"/>
      <c r="D297" s="3" t="s">
        <v>10</v>
      </c>
      <c r="E297" s="55">
        <v>172068</v>
      </c>
      <c r="F297" s="45">
        <v>1</v>
      </c>
      <c r="G297" s="7">
        <f t="shared" si="46"/>
        <v>172068</v>
      </c>
      <c r="H297" s="45">
        <v>1</v>
      </c>
      <c r="I297" s="7">
        <f t="shared" si="47"/>
        <v>172068</v>
      </c>
      <c r="J297" s="45">
        <v>1</v>
      </c>
      <c r="K297" s="7">
        <f t="shared" si="48"/>
        <v>172068</v>
      </c>
      <c r="L297" s="45">
        <v>1</v>
      </c>
      <c r="M297" s="7">
        <f t="shared" si="49"/>
        <v>172068</v>
      </c>
    </row>
    <row r="298" spans="2:15" ht="12.95" customHeight="1" x14ac:dyDescent="0.3">
      <c r="B298" s="18" t="s">
        <v>12</v>
      </c>
      <c r="C298" s="36"/>
      <c r="D298" s="36"/>
      <c r="E298" s="44"/>
      <c r="F298" s="46"/>
      <c r="G298" s="42">
        <f>TRUNC(SUM(G296:G297))</f>
        <v>685834</v>
      </c>
      <c r="H298" s="46"/>
      <c r="I298" s="42">
        <f>TRUNC(SUM(I296:I297))</f>
        <v>685834</v>
      </c>
      <c r="J298" s="46"/>
      <c r="K298" s="42">
        <f>TRUNC(SUM(K296:K297))</f>
        <v>685834</v>
      </c>
      <c r="L298" s="46"/>
      <c r="M298" s="42">
        <f>TRUNC(SUM(M296:M297))</f>
        <v>685834</v>
      </c>
    </row>
    <row r="299" spans="2:15" ht="12.95" customHeight="1" x14ac:dyDescent="0.3">
      <c r="B299" s="35"/>
      <c r="C299" s="36"/>
      <c r="D299" s="36"/>
      <c r="E299" s="44"/>
      <c r="F299" s="46"/>
      <c r="G299" s="30"/>
      <c r="H299" s="46"/>
      <c r="I299" s="30"/>
      <c r="J299" s="46"/>
      <c r="K299" s="30"/>
      <c r="L299" s="46"/>
      <c r="M299" s="30"/>
    </row>
    <row r="300" spans="2:15" ht="12.95" customHeight="1" x14ac:dyDescent="0.3">
      <c r="B300" s="78" t="s">
        <v>14</v>
      </c>
      <c r="C300" s="36"/>
      <c r="D300" s="36"/>
      <c r="E300" s="79"/>
      <c r="F300" s="79"/>
      <c r="G300" s="80">
        <f>SUM(G298)</f>
        <v>685834</v>
      </c>
      <c r="H300" s="79"/>
      <c r="I300" s="80">
        <f>SUM(I298)</f>
        <v>685834</v>
      </c>
      <c r="J300" s="79"/>
      <c r="K300" s="80">
        <f>SUM(K298)</f>
        <v>685834</v>
      </c>
      <c r="L300" s="79"/>
      <c r="M300" s="80">
        <f>SUM(M298)</f>
        <v>685834</v>
      </c>
    </row>
    <row r="301" spans="2:15" ht="12.95" customHeight="1" x14ac:dyDescent="0.3">
      <c r="B301" s="15" t="s">
        <v>126</v>
      </c>
      <c r="C301" s="81"/>
      <c r="D301" s="82"/>
      <c r="E301" s="83"/>
      <c r="F301" s="84"/>
      <c r="G301" s="85">
        <f>TRUNC(G300/G294)</f>
        <v>6858</v>
      </c>
      <c r="H301" s="84"/>
      <c r="I301" s="85">
        <f>TRUNC(I300/I294)</f>
        <v>7620</v>
      </c>
      <c r="J301" s="84"/>
      <c r="K301" s="85">
        <f>TRUNC(K300/K294)</f>
        <v>8068</v>
      </c>
      <c r="L301" s="84"/>
      <c r="M301" s="85">
        <f>TRUNC(M300/M294)</f>
        <v>8572</v>
      </c>
    </row>
    <row r="303" spans="2:15" ht="12.95" customHeight="1" x14ac:dyDescent="0.3">
      <c r="B303" s="38" t="s">
        <v>134</v>
      </c>
      <c r="C303" s="39"/>
      <c r="D303" s="25"/>
      <c r="E303" s="40"/>
      <c r="F303" s="25"/>
      <c r="G303" s="25"/>
    </row>
    <row r="304" spans="2:15" ht="12.95" customHeight="1" x14ac:dyDescent="0.3">
      <c r="B304" s="89" t="s">
        <v>4</v>
      </c>
      <c r="C304" s="91" t="s">
        <v>16</v>
      </c>
      <c r="D304" s="93" t="s">
        <v>9</v>
      </c>
      <c r="E304" s="94" t="s">
        <v>5</v>
      </c>
      <c r="F304" s="93" t="s">
        <v>18</v>
      </c>
      <c r="G304" s="111" t="s">
        <v>19</v>
      </c>
    </row>
    <row r="305" spans="2:15" ht="12.95" customHeight="1" x14ac:dyDescent="0.3">
      <c r="B305" s="90"/>
      <c r="C305" s="92"/>
      <c r="D305" s="93"/>
      <c r="E305" s="95"/>
      <c r="F305" s="93"/>
      <c r="G305" s="112"/>
      <c r="N305" s="10"/>
      <c r="O305" s="10"/>
    </row>
    <row r="306" spans="2:15" ht="12.95" customHeight="1" x14ac:dyDescent="0.3">
      <c r="B306" s="11" t="s">
        <v>65</v>
      </c>
      <c r="C306" s="6"/>
      <c r="D306" s="49" t="s">
        <v>32</v>
      </c>
      <c r="E306" s="50">
        <v>0</v>
      </c>
      <c r="F306" s="47">
        <v>1.1000000000000001</v>
      </c>
      <c r="G306" s="7">
        <f t="shared" ref="G306:G307" si="50">TRUNC($E306*F306,1)</f>
        <v>0</v>
      </c>
      <c r="N306" s="10"/>
      <c r="O306" s="10"/>
    </row>
    <row r="307" spans="2:15" ht="12.95" customHeight="1" x14ac:dyDescent="0.3">
      <c r="B307" s="11" t="s">
        <v>66</v>
      </c>
      <c r="C307" s="6"/>
      <c r="D307" s="49" t="s">
        <v>23</v>
      </c>
      <c r="E307" s="50">
        <v>0</v>
      </c>
      <c r="F307" s="53">
        <v>3.5000000000000003E-2</v>
      </c>
      <c r="G307" s="7">
        <f t="shared" si="50"/>
        <v>0</v>
      </c>
      <c r="N307" s="10"/>
      <c r="O307" s="10"/>
    </row>
    <row r="308" spans="2:15" ht="12.95" customHeight="1" x14ac:dyDescent="0.3">
      <c r="B308" s="20" t="s">
        <v>11</v>
      </c>
      <c r="C308" s="23"/>
      <c r="D308" s="22"/>
      <c r="E308" s="21"/>
      <c r="F308" s="27"/>
      <c r="G308" s="19">
        <f>TRUNC(SUM(G306:G307))</f>
        <v>0</v>
      </c>
      <c r="N308" s="10"/>
    </row>
    <row r="309" spans="2:15" ht="12.95" customHeight="1" x14ac:dyDescent="0.3">
      <c r="B309" s="35"/>
      <c r="C309" s="36"/>
      <c r="D309" s="36"/>
      <c r="E309" s="44"/>
      <c r="F309" s="46"/>
      <c r="G309" s="30"/>
    </row>
    <row r="310" spans="2:15" ht="12.95" customHeight="1" x14ac:dyDescent="0.3">
      <c r="B310" s="15" t="s">
        <v>14</v>
      </c>
      <c r="C310" s="37"/>
      <c r="D310" s="37"/>
      <c r="E310" s="33"/>
      <c r="F310" s="33"/>
      <c r="G310" s="34">
        <f>SUM(G308)</f>
        <v>0</v>
      </c>
    </row>
    <row r="312" spans="2:15" ht="12.95" customHeight="1" x14ac:dyDescent="0.3">
      <c r="B312" s="2" t="s">
        <v>103</v>
      </c>
      <c r="C312" s="39"/>
      <c r="D312" s="25"/>
      <c r="E312" s="40"/>
      <c r="F312" s="25"/>
      <c r="G312" s="25"/>
      <c r="H312" s="25"/>
      <c r="I312" s="25"/>
      <c r="J312" s="25"/>
      <c r="K312" s="25"/>
      <c r="L312" s="25"/>
      <c r="M312" s="48" t="s">
        <v>124</v>
      </c>
    </row>
    <row r="313" spans="2:15" ht="12.95" customHeight="1" x14ac:dyDescent="0.3">
      <c r="B313" s="89" t="s">
        <v>4</v>
      </c>
      <c r="C313" s="91" t="s">
        <v>16</v>
      </c>
      <c r="D313" s="108" t="s">
        <v>9</v>
      </c>
      <c r="E313" s="94" t="s">
        <v>5</v>
      </c>
      <c r="F313" s="96" t="s">
        <v>125</v>
      </c>
      <c r="G313" s="97"/>
      <c r="H313" s="97"/>
      <c r="I313" s="97"/>
      <c r="J313" s="97"/>
      <c r="K313" s="97"/>
      <c r="L313" s="97"/>
      <c r="M313" s="97"/>
    </row>
    <row r="314" spans="2:15" ht="12.95" customHeight="1" x14ac:dyDescent="0.3">
      <c r="B314" s="106"/>
      <c r="C314" s="107"/>
      <c r="D314" s="109"/>
      <c r="E314" s="101"/>
      <c r="F314" s="96" t="s">
        <v>104</v>
      </c>
      <c r="G314" s="97"/>
      <c r="H314" s="96" t="s">
        <v>105</v>
      </c>
      <c r="I314" s="97"/>
      <c r="J314" s="96" t="s">
        <v>106</v>
      </c>
      <c r="K314" s="97"/>
      <c r="L314" s="96" t="s">
        <v>107</v>
      </c>
      <c r="M314" s="97"/>
    </row>
    <row r="315" spans="2:15" ht="12.95" customHeight="1" x14ac:dyDescent="0.3">
      <c r="B315" s="106"/>
      <c r="C315" s="107"/>
      <c r="D315" s="109"/>
      <c r="E315" s="101"/>
      <c r="F315" s="64" t="s">
        <v>127</v>
      </c>
      <c r="G315" s="65">
        <v>47</v>
      </c>
      <c r="H315" s="64" t="s">
        <v>125</v>
      </c>
      <c r="I315" s="65">
        <v>40</v>
      </c>
      <c r="J315" s="64" t="s">
        <v>127</v>
      </c>
      <c r="K315" s="65">
        <v>42</v>
      </c>
      <c r="L315" s="64" t="s">
        <v>125</v>
      </c>
      <c r="M315" s="65">
        <v>35</v>
      </c>
    </row>
    <row r="316" spans="2:15" ht="12.95" customHeight="1" x14ac:dyDescent="0.3">
      <c r="B316" s="90"/>
      <c r="C316" s="92"/>
      <c r="D316" s="110"/>
      <c r="E316" s="95"/>
      <c r="F316" s="62" t="s">
        <v>18</v>
      </c>
      <c r="G316" s="63" t="s">
        <v>19</v>
      </c>
      <c r="H316" s="62" t="s">
        <v>18</v>
      </c>
      <c r="I316" s="63" t="s">
        <v>19</v>
      </c>
      <c r="J316" s="62" t="s">
        <v>18</v>
      </c>
      <c r="K316" s="63" t="s">
        <v>19</v>
      </c>
      <c r="L316" s="62" t="s">
        <v>18</v>
      </c>
      <c r="M316" s="63" t="s">
        <v>19</v>
      </c>
    </row>
    <row r="317" spans="2:15" ht="12.95" customHeight="1" x14ac:dyDescent="0.3">
      <c r="B317" s="16" t="s">
        <v>0</v>
      </c>
      <c r="C317" s="9"/>
      <c r="D317" s="3" t="s">
        <v>10</v>
      </c>
      <c r="E317" s="55">
        <v>256883</v>
      </c>
      <c r="F317" s="45">
        <v>2</v>
      </c>
      <c r="G317" s="7">
        <f t="shared" ref="G317:G318" si="51">TRUNC($E317*F317,1)</f>
        <v>513766</v>
      </c>
      <c r="H317" s="45">
        <v>2</v>
      </c>
      <c r="I317" s="7">
        <f t="shared" ref="I317:I318" si="52">TRUNC($E317*H317,1)</f>
        <v>513766</v>
      </c>
      <c r="J317" s="45">
        <v>2</v>
      </c>
      <c r="K317" s="7">
        <f t="shared" ref="K317:K318" si="53">TRUNC($E317*J317,1)</f>
        <v>513766</v>
      </c>
      <c r="L317" s="45">
        <v>2</v>
      </c>
      <c r="M317" s="7">
        <f t="shared" ref="M317:M318" si="54">TRUNC($E317*L317,1)</f>
        <v>513766</v>
      </c>
    </row>
    <row r="318" spans="2:15" ht="12.95" customHeight="1" x14ac:dyDescent="0.3">
      <c r="B318" s="16" t="s">
        <v>3</v>
      </c>
      <c r="C318" s="9"/>
      <c r="D318" s="3" t="s">
        <v>10</v>
      </c>
      <c r="E318" s="55">
        <v>172068</v>
      </c>
      <c r="F318" s="45">
        <v>1</v>
      </c>
      <c r="G318" s="7">
        <f t="shared" si="51"/>
        <v>172068</v>
      </c>
      <c r="H318" s="45">
        <v>1</v>
      </c>
      <c r="I318" s="7">
        <f t="shared" si="52"/>
        <v>172068</v>
      </c>
      <c r="J318" s="45">
        <v>1</v>
      </c>
      <c r="K318" s="7">
        <f t="shared" si="53"/>
        <v>172068</v>
      </c>
      <c r="L318" s="45">
        <v>1</v>
      </c>
      <c r="M318" s="7">
        <f t="shared" si="54"/>
        <v>172068</v>
      </c>
    </row>
    <row r="319" spans="2:15" ht="12.95" customHeight="1" x14ac:dyDescent="0.3">
      <c r="B319" s="18" t="s">
        <v>12</v>
      </c>
      <c r="C319" s="36"/>
      <c r="D319" s="36"/>
      <c r="E319" s="44"/>
      <c r="F319" s="46"/>
      <c r="G319" s="42">
        <f>TRUNC(SUM(G317:G318))</f>
        <v>685834</v>
      </c>
      <c r="H319" s="46"/>
      <c r="I319" s="42">
        <f>TRUNC(SUM(I317:I318))</f>
        <v>685834</v>
      </c>
      <c r="J319" s="46"/>
      <c r="K319" s="42">
        <f>TRUNC(SUM(K317:K318))</f>
        <v>685834</v>
      </c>
      <c r="L319" s="46"/>
      <c r="M319" s="42">
        <f>TRUNC(SUM(M317:M318))</f>
        <v>685834</v>
      </c>
    </row>
    <row r="320" spans="2:15" ht="12.95" customHeight="1" x14ac:dyDescent="0.3">
      <c r="B320" s="35"/>
      <c r="C320" s="36"/>
      <c r="D320" s="36"/>
      <c r="E320" s="44"/>
      <c r="F320" s="46"/>
      <c r="G320" s="30"/>
      <c r="H320" s="46"/>
      <c r="I320" s="30"/>
      <c r="J320" s="46"/>
      <c r="K320" s="30"/>
      <c r="L320" s="46"/>
      <c r="M320" s="30"/>
    </row>
    <row r="321" spans="2:13" ht="12.95" customHeight="1" x14ac:dyDescent="0.3">
      <c r="B321" s="78" t="s">
        <v>14</v>
      </c>
      <c r="C321" s="36"/>
      <c r="D321" s="36"/>
      <c r="E321" s="79"/>
      <c r="F321" s="79"/>
      <c r="G321" s="80">
        <f>SUM(G319)</f>
        <v>685834</v>
      </c>
      <c r="H321" s="79"/>
      <c r="I321" s="80">
        <f>SUM(I319)</f>
        <v>685834</v>
      </c>
      <c r="J321" s="79"/>
      <c r="K321" s="80">
        <f>SUM(K319)</f>
        <v>685834</v>
      </c>
      <c r="L321" s="79"/>
      <c r="M321" s="80">
        <f>SUM(M319)</f>
        <v>685834</v>
      </c>
    </row>
    <row r="322" spans="2:13" ht="12.95" customHeight="1" x14ac:dyDescent="0.3">
      <c r="B322" s="15" t="s">
        <v>126</v>
      </c>
      <c r="C322" s="81"/>
      <c r="D322" s="82"/>
      <c r="E322" s="83"/>
      <c r="F322" s="84"/>
      <c r="G322" s="85">
        <f>TRUNC(G321/G315)</f>
        <v>14592</v>
      </c>
      <c r="H322" s="84"/>
      <c r="I322" s="85">
        <f>TRUNC(I321/I315)</f>
        <v>17145</v>
      </c>
      <c r="J322" s="84"/>
      <c r="K322" s="85">
        <f>TRUNC(K321/K315)</f>
        <v>16329</v>
      </c>
      <c r="L322" s="84"/>
      <c r="M322" s="85">
        <f>TRUNC(M321/M315)</f>
        <v>19595</v>
      </c>
    </row>
    <row r="323" spans="2:13" ht="12.95" customHeight="1" x14ac:dyDescent="0.3">
      <c r="B323" s="89" t="s">
        <v>4</v>
      </c>
      <c r="C323" s="91" t="s">
        <v>16</v>
      </c>
      <c r="D323" s="108" t="s">
        <v>9</v>
      </c>
      <c r="E323" s="94" t="s">
        <v>5</v>
      </c>
      <c r="F323" s="96" t="s">
        <v>125</v>
      </c>
      <c r="G323" s="97"/>
      <c r="H323" s="97"/>
      <c r="I323" s="97"/>
      <c r="J323" s="97"/>
      <c r="K323" s="97"/>
      <c r="L323" s="97"/>
      <c r="M323" s="97"/>
    </row>
    <row r="324" spans="2:13" ht="12.95" customHeight="1" x14ac:dyDescent="0.3">
      <c r="B324" s="106"/>
      <c r="C324" s="107"/>
      <c r="D324" s="109"/>
      <c r="E324" s="101"/>
      <c r="F324" s="96" t="s">
        <v>108</v>
      </c>
      <c r="G324" s="97"/>
      <c r="H324" s="96" t="s">
        <v>109</v>
      </c>
      <c r="I324" s="97"/>
      <c r="J324" s="96" t="s">
        <v>110</v>
      </c>
      <c r="K324" s="97"/>
      <c r="L324" s="96" t="s">
        <v>111</v>
      </c>
      <c r="M324" s="97"/>
    </row>
    <row r="325" spans="2:13" ht="12.95" customHeight="1" x14ac:dyDescent="0.3">
      <c r="B325" s="106"/>
      <c r="C325" s="107"/>
      <c r="D325" s="109"/>
      <c r="E325" s="101"/>
      <c r="F325" s="64" t="s">
        <v>127</v>
      </c>
      <c r="G325" s="65">
        <v>40</v>
      </c>
      <c r="H325" s="64" t="s">
        <v>125</v>
      </c>
      <c r="I325" s="65">
        <v>32</v>
      </c>
      <c r="J325" s="64" t="s">
        <v>127</v>
      </c>
      <c r="K325" s="65">
        <v>38</v>
      </c>
      <c r="L325" s="64" t="s">
        <v>125</v>
      </c>
      <c r="M325" s="65">
        <v>30</v>
      </c>
    </row>
    <row r="326" spans="2:13" ht="12.95" customHeight="1" x14ac:dyDescent="0.3">
      <c r="B326" s="90"/>
      <c r="C326" s="92"/>
      <c r="D326" s="110"/>
      <c r="E326" s="95"/>
      <c r="F326" s="62" t="s">
        <v>18</v>
      </c>
      <c r="G326" s="63" t="s">
        <v>19</v>
      </c>
      <c r="H326" s="62" t="s">
        <v>18</v>
      </c>
      <c r="I326" s="63" t="s">
        <v>19</v>
      </c>
      <c r="J326" s="62" t="s">
        <v>18</v>
      </c>
      <c r="K326" s="63" t="s">
        <v>19</v>
      </c>
      <c r="L326" s="62" t="s">
        <v>18</v>
      </c>
      <c r="M326" s="63" t="s">
        <v>19</v>
      </c>
    </row>
    <row r="327" spans="2:13" ht="12.95" customHeight="1" x14ac:dyDescent="0.3">
      <c r="B327" s="16" t="s">
        <v>0</v>
      </c>
      <c r="C327" s="9"/>
      <c r="D327" s="3" t="s">
        <v>10</v>
      </c>
      <c r="E327" s="55">
        <v>256883</v>
      </c>
      <c r="F327" s="45">
        <v>2</v>
      </c>
      <c r="G327" s="7">
        <f t="shared" ref="G327:G328" si="55">TRUNC($E327*F327,1)</f>
        <v>513766</v>
      </c>
      <c r="H327" s="45">
        <v>2</v>
      </c>
      <c r="I327" s="7">
        <f t="shared" ref="I327:I328" si="56">TRUNC($E327*H327,1)</f>
        <v>513766</v>
      </c>
      <c r="J327" s="45">
        <v>2</v>
      </c>
      <c r="K327" s="7">
        <f t="shared" ref="K327:K328" si="57">TRUNC($E327*J327,1)</f>
        <v>513766</v>
      </c>
      <c r="L327" s="45">
        <v>2</v>
      </c>
      <c r="M327" s="7">
        <f t="shared" ref="M327:M328" si="58">TRUNC($E327*L327,1)</f>
        <v>513766</v>
      </c>
    </row>
    <row r="328" spans="2:13" ht="12.95" customHeight="1" x14ac:dyDescent="0.3">
      <c r="B328" s="16" t="s">
        <v>3</v>
      </c>
      <c r="C328" s="9"/>
      <c r="D328" s="3" t="s">
        <v>10</v>
      </c>
      <c r="E328" s="55">
        <v>172068</v>
      </c>
      <c r="F328" s="45">
        <v>1</v>
      </c>
      <c r="G328" s="7">
        <f t="shared" si="55"/>
        <v>172068</v>
      </c>
      <c r="H328" s="45">
        <v>1</v>
      </c>
      <c r="I328" s="7">
        <f t="shared" si="56"/>
        <v>172068</v>
      </c>
      <c r="J328" s="45">
        <v>1</v>
      </c>
      <c r="K328" s="7">
        <f t="shared" si="57"/>
        <v>172068</v>
      </c>
      <c r="L328" s="45">
        <v>1</v>
      </c>
      <c r="M328" s="7">
        <f t="shared" si="58"/>
        <v>172068</v>
      </c>
    </row>
    <row r="329" spans="2:13" ht="12.95" customHeight="1" x14ac:dyDescent="0.3">
      <c r="B329" s="18" t="s">
        <v>12</v>
      </c>
      <c r="C329" s="36"/>
      <c r="D329" s="36"/>
      <c r="E329" s="44"/>
      <c r="F329" s="46"/>
      <c r="G329" s="42">
        <f>TRUNC(SUM(G327:G328))</f>
        <v>685834</v>
      </c>
      <c r="H329" s="46"/>
      <c r="I329" s="42">
        <f>TRUNC(SUM(I327:I328))</f>
        <v>685834</v>
      </c>
      <c r="J329" s="46"/>
      <c r="K329" s="42">
        <f>TRUNC(SUM(K327:K328))</f>
        <v>685834</v>
      </c>
      <c r="L329" s="46"/>
      <c r="M329" s="42">
        <f>TRUNC(SUM(M327:M328))</f>
        <v>685834</v>
      </c>
    </row>
    <row r="330" spans="2:13" ht="12.95" customHeight="1" x14ac:dyDescent="0.3">
      <c r="B330" s="35"/>
      <c r="C330" s="36"/>
      <c r="D330" s="36"/>
      <c r="E330" s="44"/>
      <c r="F330" s="46"/>
      <c r="G330" s="30"/>
      <c r="H330" s="46"/>
      <c r="I330" s="30"/>
      <c r="J330" s="46"/>
      <c r="K330" s="30"/>
      <c r="L330" s="46"/>
      <c r="M330" s="30"/>
    </row>
    <row r="331" spans="2:13" ht="12.95" customHeight="1" x14ac:dyDescent="0.3">
      <c r="B331" s="78" t="s">
        <v>14</v>
      </c>
      <c r="C331" s="36"/>
      <c r="D331" s="36"/>
      <c r="E331" s="79"/>
      <c r="F331" s="79"/>
      <c r="G331" s="80">
        <f>SUM(G329)</f>
        <v>685834</v>
      </c>
      <c r="H331" s="79"/>
      <c r="I331" s="80">
        <f>SUM(I329)</f>
        <v>685834</v>
      </c>
      <c r="J331" s="79"/>
      <c r="K331" s="80">
        <f>SUM(K329)</f>
        <v>685834</v>
      </c>
      <c r="L331" s="79"/>
      <c r="M331" s="80">
        <f>SUM(M329)</f>
        <v>685834</v>
      </c>
    </row>
    <row r="332" spans="2:13" ht="12.95" customHeight="1" x14ac:dyDescent="0.3">
      <c r="B332" s="15" t="s">
        <v>126</v>
      </c>
      <c r="C332" s="81"/>
      <c r="D332" s="82"/>
      <c r="E332" s="83"/>
      <c r="F332" s="84"/>
      <c r="G332" s="85">
        <f>TRUNC(G331/G325)</f>
        <v>17145</v>
      </c>
      <c r="H332" s="84"/>
      <c r="I332" s="85">
        <f>TRUNC(I331/I325)</f>
        <v>21432</v>
      </c>
      <c r="J332" s="84"/>
      <c r="K332" s="85">
        <f>TRUNC(K331/K325)</f>
        <v>18048</v>
      </c>
      <c r="L332" s="84"/>
      <c r="M332" s="85">
        <f>TRUNC(M331/M325)</f>
        <v>22861</v>
      </c>
    </row>
    <row r="334" spans="2:13" ht="12.95" customHeight="1" x14ac:dyDescent="0.3">
      <c r="B334" s="38" t="s">
        <v>134</v>
      </c>
      <c r="C334" s="39"/>
      <c r="D334" s="25"/>
      <c r="E334" s="40"/>
      <c r="F334" s="25"/>
      <c r="G334" s="25"/>
    </row>
    <row r="335" spans="2:13" ht="12.95" customHeight="1" x14ac:dyDescent="0.3">
      <c r="B335" s="89" t="s">
        <v>4</v>
      </c>
      <c r="C335" s="91" t="s">
        <v>16</v>
      </c>
      <c r="D335" s="93" t="s">
        <v>9</v>
      </c>
      <c r="E335" s="94" t="s">
        <v>5</v>
      </c>
      <c r="F335" s="93" t="s">
        <v>18</v>
      </c>
      <c r="G335" s="111" t="s">
        <v>19</v>
      </c>
    </row>
    <row r="336" spans="2:13" ht="12.95" customHeight="1" x14ac:dyDescent="0.3">
      <c r="B336" s="90"/>
      <c r="C336" s="92"/>
      <c r="D336" s="93"/>
      <c r="E336" s="95"/>
      <c r="F336" s="93"/>
      <c r="G336" s="112"/>
    </row>
    <row r="337" spans="2:13" ht="12.95" customHeight="1" x14ac:dyDescent="0.3">
      <c r="B337" s="11" t="s">
        <v>65</v>
      </c>
      <c r="C337" s="6"/>
      <c r="D337" s="49" t="s">
        <v>32</v>
      </c>
      <c r="E337" s="50">
        <v>0</v>
      </c>
      <c r="F337" s="47">
        <v>1.1000000000000001</v>
      </c>
      <c r="G337" s="7">
        <f t="shared" ref="G337:G338" si="59">TRUNC($E337*F337,1)</f>
        <v>0</v>
      </c>
    </row>
    <row r="338" spans="2:13" ht="12.95" customHeight="1" x14ac:dyDescent="0.3">
      <c r="B338" s="11" t="s">
        <v>66</v>
      </c>
      <c r="C338" s="6" t="s">
        <v>112</v>
      </c>
      <c r="D338" s="49" t="s">
        <v>23</v>
      </c>
      <c r="E338" s="50">
        <v>0</v>
      </c>
      <c r="F338" s="53">
        <v>0.32500000000000001</v>
      </c>
      <c r="G338" s="7">
        <f t="shared" si="59"/>
        <v>0</v>
      </c>
    </row>
    <row r="339" spans="2:13" ht="12.95" customHeight="1" x14ac:dyDescent="0.3">
      <c r="B339" s="20" t="s">
        <v>11</v>
      </c>
      <c r="C339" s="23"/>
      <c r="D339" s="22"/>
      <c r="E339" s="21"/>
      <c r="F339" s="27"/>
      <c r="G339" s="19">
        <f>TRUNC(SUM(G337:G338))</f>
        <v>0</v>
      </c>
    </row>
    <row r="340" spans="2:13" ht="12.95" customHeight="1" x14ac:dyDescent="0.3">
      <c r="B340" s="35"/>
      <c r="C340" s="36"/>
      <c r="D340" s="36"/>
      <c r="E340" s="44"/>
      <c r="F340" s="46"/>
      <c r="G340" s="30"/>
    </row>
    <row r="341" spans="2:13" ht="12.95" customHeight="1" x14ac:dyDescent="0.3">
      <c r="B341" s="15" t="s">
        <v>14</v>
      </c>
      <c r="C341" s="37"/>
      <c r="D341" s="37"/>
      <c r="E341" s="33"/>
      <c r="F341" s="33"/>
      <c r="G341" s="34">
        <f>SUM(G339)</f>
        <v>0</v>
      </c>
    </row>
    <row r="343" spans="2:13" ht="12.95" customHeight="1" x14ac:dyDescent="0.3">
      <c r="B343" s="2" t="s">
        <v>113</v>
      </c>
      <c r="C343" s="39"/>
      <c r="D343" s="25"/>
      <c r="E343" s="40"/>
      <c r="F343" s="25"/>
      <c r="G343" s="25"/>
      <c r="H343" s="25"/>
      <c r="I343" s="25"/>
      <c r="J343" s="25"/>
      <c r="K343" s="25"/>
      <c r="L343" s="25"/>
      <c r="M343" s="48" t="s">
        <v>124</v>
      </c>
    </row>
    <row r="344" spans="2:13" ht="12.95" customHeight="1" x14ac:dyDescent="0.3">
      <c r="B344" s="89" t="s">
        <v>4</v>
      </c>
      <c r="C344" s="91" t="s">
        <v>16</v>
      </c>
      <c r="D344" s="108" t="s">
        <v>9</v>
      </c>
      <c r="E344" s="94" t="s">
        <v>5</v>
      </c>
      <c r="F344" s="96" t="s">
        <v>125</v>
      </c>
      <c r="G344" s="97"/>
      <c r="H344" s="97"/>
      <c r="I344" s="97"/>
      <c r="J344" s="97"/>
      <c r="K344" s="97"/>
      <c r="L344" s="97"/>
      <c r="M344" s="97"/>
    </row>
    <row r="345" spans="2:13" ht="12.95" customHeight="1" x14ac:dyDescent="0.3">
      <c r="B345" s="106"/>
      <c r="C345" s="107"/>
      <c r="D345" s="109"/>
      <c r="E345" s="101"/>
      <c r="F345" s="96" t="s">
        <v>104</v>
      </c>
      <c r="G345" s="97"/>
      <c r="H345" s="96" t="s">
        <v>105</v>
      </c>
      <c r="I345" s="97"/>
      <c r="J345" s="96" t="s">
        <v>106</v>
      </c>
      <c r="K345" s="97"/>
      <c r="L345" s="96" t="s">
        <v>107</v>
      </c>
      <c r="M345" s="97"/>
    </row>
    <row r="346" spans="2:13" ht="12.95" customHeight="1" x14ac:dyDescent="0.3">
      <c r="B346" s="106"/>
      <c r="C346" s="107"/>
      <c r="D346" s="109"/>
      <c r="E346" s="101"/>
      <c r="F346" s="64" t="s">
        <v>127</v>
      </c>
      <c r="G346" s="65">
        <v>80</v>
      </c>
      <c r="H346" s="64" t="s">
        <v>125</v>
      </c>
      <c r="I346" s="65">
        <v>75</v>
      </c>
      <c r="J346" s="64" t="s">
        <v>127</v>
      </c>
      <c r="K346" s="65">
        <v>75</v>
      </c>
      <c r="L346" s="64" t="s">
        <v>125</v>
      </c>
      <c r="M346" s="65">
        <v>70</v>
      </c>
    </row>
    <row r="347" spans="2:13" ht="12.95" customHeight="1" x14ac:dyDescent="0.3">
      <c r="B347" s="90"/>
      <c r="C347" s="92"/>
      <c r="D347" s="110"/>
      <c r="E347" s="95"/>
      <c r="F347" s="62" t="s">
        <v>18</v>
      </c>
      <c r="G347" s="63" t="s">
        <v>19</v>
      </c>
      <c r="H347" s="62" t="s">
        <v>18</v>
      </c>
      <c r="I347" s="63" t="s">
        <v>19</v>
      </c>
      <c r="J347" s="62" t="s">
        <v>18</v>
      </c>
      <c r="K347" s="63" t="s">
        <v>19</v>
      </c>
      <c r="L347" s="62" t="s">
        <v>18</v>
      </c>
      <c r="M347" s="63" t="s">
        <v>19</v>
      </c>
    </row>
    <row r="348" spans="2:13" ht="12.95" customHeight="1" x14ac:dyDescent="0.3">
      <c r="B348" s="16" t="s">
        <v>0</v>
      </c>
      <c r="C348" s="9"/>
      <c r="D348" s="3" t="s">
        <v>10</v>
      </c>
      <c r="E348" s="55">
        <v>256883</v>
      </c>
      <c r="F348" s="45">
        <v>2</v>
      </c>
      <c r="G348" s="7">
        <f t="shared" ref="G348:G349" si="60">TRUNC($E348*F348,1)</f>
        <v>513766</v>
      </c>
      <c r="H348" s="45">
        <v>2</v>
      </c>
      <c r="I348" s="7">
        <f t="shared" ref="I348:I349" si="61">TRUNC($E348*H348,1)</f>
        <v>513766</v>
      </c>
      <c r="J348" s="45">
        <v>2</v>
      </c>
      <c r="K348" s="7">
        <f t="shared" ref="K348:K349" si="62">TRUNC($E348*J348,1)</f>
        <v>513766</v>
      </c>
      <c r="L348" s="45">
        <v>2</v>
      </c>
      <c r="M348" s="7">
        <f t="shared" ref="M348:M349" si="63">TRUNC($E348*L348,1)</f>
        <v>513766</v>
      </c>
    </row>
    <row r="349" spans="2:13" ht="12.95" customHeight="1" x14ac:dyDescent="0.3">
      <c r="B349" s="16" t="s">
        <v>3</v>
      </c>
      <c r="C349" s="9"/>
      <c r="D349" s="3" t="s">
        <v>10</v>
      </c>
      <c r="E349" s="55">
        <v>172068</v>
      </c>
      <c r="F349" s="45">
        <v>1</v>
      </c>
      <c r="G349" s="7">
        <f t="shared" si="60"/>
        <v>172068</v>
      </c>
      <c r="H349" s="45">
        <v>1</v>
      </c>
      <c r="I349" s="7">
        <f t="shared" si="61"/>
        <v>172068</v>
      </c>
      <c r="J349" s="45">
        <v>1</v>
      </c>
      <c r="K349" s="7">
        <f t="shared" si="62"/>
        <v>172068</v>
      </c>
      <c r="L349" s="45">
        <v>1</v>
      </c>
      <c r="M349" s="7">
        <f t="shared" si="63"/>
        <v>172068</v>
      </c>
    </row>
    <row r="350" spans="2:13" ht="12.95" customHeight="1" x14ac:dyDescent="0.3">
      <c r="B350" s="18" t="s">
        <v>12</v>
      </c>
      <c r="C350" s="36"/>
      <c r="D350" s="36"/>
      <c r="E350" s="44"/>
      <c r="F350" s="46"/>
      <c r="G350" s="42">
        <f>TRUNC(SUM(G348:G349))</f>
        <v>685834</v>
      </c>
      <c r="H350" s="46"/>
      <c r="I350" s="42">
        <f>TRUNC(SUM(I348:I349))</f>
        <v>685834</v>
      </c>
      <c r="J350" s="46"/>
      <c r="K350" s="42">
        <f>TRUNC(SUM(K348:K349))</f>
        <v>685834</v>
      </c>
      <c r="L350" s="46"/>
      <c r="M350" s="42">
        <f>TRUNC(SUM(M348:M349))</f>
        <v>685834</v>
      </c>
    </row>
    <row r="351" spans="2:13" ht="12.95" customHeight="1" x14ac:dyDescent="0.3">
      <c r="B351" s="35"/>
      <c r="C351" s="36"/>
      <c r="D351" s="36"/>
      <c r="E351" s="44"/>
      <c r="F351" s="46"/>
      <c r="G351" s="30"/>
      <c r="H351" s="46"/>
      <c r="I351" s="30"/>
      <c r="J351" s="46"/>
      <c r="K351" s="30"/>
      <c r="L351" s="46"/>
      <c r="M351" s="30"/>
    </row>
    <row r="352" spans="2:13" ht="12.95" customHeight="1" x14ac:dyDescent="0.3">
      <c r="B352" s="78" t="s">
        <v>14</v>
      </c>
      <c r="C352" s="36"/>
      <c r="D352" s="36"/>
      <c r="E352" s="79"/>
      <c r="F352" s="79"/>
      <c r="G352" s="80">
        <f>SUM(G350)</f>
        <v>685834</v>
      </c>
      <c r="H352" s="79"/>
      <c r="I352" s="80">
        <f>SUM(I350)</f>
        <v>685834</v>
      </c>
      <c r="J352" s="79"/>
      <c r="K352" s="80">
        <f>SUM(K350)</f>
        <v>685834</v>
      </c>
      <c r="L352" s="79"/>
      <c r="M352" s="80">
        <f>SUM(M350)</f>
        <v>685834</v>
      </c>
    </row>
    <row r="353" spans="2:13" ht="12.95" customHeight="1" x14ac:dyDescent="0.3">
      <c r="B353" s="15" t="s">
        <v>126</v>
      </c>
      <c r="C353" s="81"/>
      <c r="D353" s="82"/>
      <c r="E353" s="83"/>
      <c r="F353" s="84"/>
      <c r="G353" s="85">
        <f>TRUNC(G352/G346)</f>
        <v>8572</v>
      </c>
      <c r="H353" s="84"/>
      <c r="I353" s="85">
        <f>TRUNC(I352/I346)</f>
        <v>9144</v>
      </c>
      <c r="J353" s="84"/>
      <c r="K353" s="85">
        <f>TRUNC(K352/K346)</f>
        <v>9144</v>
      </c>
      <c r="L353" s="84"/>
      <c r="M353" s="85">
        <f>TRUNC(M352/M346)</f>
        <v>9797</v>
      </c>
    </row>
    <row r="354" spans="2:13" ht="12.95" customHeight="1" x14ac:dyDescent="0.3">
      <c r="B354" s="89" t="s">
        <v>4</v>
      </c>
      <c r="C354" s="91" t="s">
        <v>16</v>
      </c>
      <c r="D354" s="108" t="s">
        <v>9</v>
      </c>
      <c r="E354" s="94" t="s">
        <v>5</v>
      </c>
      <c r="F354" s="96" t="s">
        <v>125</v>
      </c>
      <c r="G354" s="97"/>
      <c r="H354" s="97"/>
      <c r="I354" s="97"/>
      <c r="J354" s="97"/>
      <c r="K354" s="97"/>
      <c r="L354" s="97"/>
      <c r="M354" s="97"/>
    </row>
    <row r="355" spans="2:13" ht="12.95" customHeight="1" x14ac:dyDescent="0.3">
      <c r="B355" s="106"/>
      <c r="C355" s="107"/>
      <c r="D355" s="109"/>
      <c r="E355" s="101"/>
      <c r="F355" s="96" t="s">
        <v>108</v>
      </c>
      <c r="G355" s="97"/>
      <c r="H355" s="96" t="s">
        <v>109</v>
      </c>
      <c r="I355" s="97"/>
      <c r="J355" s="96" t="s">
        <v>110</v>
      </c>
      <c r="K355" s="97"/>
      <c r="L355" s="96" t="s">
        <v>111</v>
      </c>
      <c r="M355" s="97"/>
    </row>
    <row r="356" spans="2:13" ht="12.95" customHeight="1" x14ac:dyDescent="0.3">
      <c r="B356" s="106"/>
      <c r="C356" s="107"/>
      <c r="D356" s="109"/>
      <c r="E356" s="101"/>
      <c r="F356" s="64" t="s">
        <v>127</v>
      </c>
      <c r="G356" s="65">
        <v>70</v>
      </c>
      <c r="H356" s="64" t="s">
        <v>125</v>
      </c>
      <c r="I356" s="65">
        <v>65</v>
      </c>
      <c r="J356" s="64" t="s">
        <v>127</v>
      </c>
      <c r="K356" s="65">
        <v>65</v>
      </c>
      <c r="L356" s="64" t="s">
        <v>125</v>
      </c>
      <c r="M356" s="65">
        <v>60</v>
      </c>
    </row>
    <row r="357" spans="2:13" ht="12.95" customHeight="1" x14ac:dyDescent="0.3">
      <c r="B357" s="90"/>
      <c r="C357" s="92"/>
      <c r="D357" s="110"/>
      <c r="E357" s="95"/>
      <c r="F357" s="62" t="s">
        <v>18</v>
      </c>
      <c r="G357" s="63" t="s">
        <v>19</v>
      </c>
      <c r="H357" s="62" t="s">
        <v>18</v>
      </c>
      <c r="I357" s="63" t="s">
        <v>19</v>
      </c>
      <c r="J357" s="62" t="s">
        <v>18</v>
      </c>
      <c r="K357" s="63" t="s">
        <v>19</v>
      </c>
      <c r="L357" s="62" t="s">
        <v>18</v>
      </c>
      <c r="M357" s="63" t="s">
        <v>19</v>
      </c>
    </row>
    <row r="358" spans="2:13" ht="12.95" customHeight="1" x14ac:dyDescent="0.3">
      <c r="B358" s="16" t="s">
        <v>0</v>
      </c>
      <c r="C358" s="9"/>
      <c r="D358" s="3" t="s">
        <v>10</v>
      </c>
      <c r="E358" s="55">
        <v>256883</v>
      </c>
      <c r="F358" s="45">
        <v>2</v>
      </c>
      <c r="G358" s="7">
        <f t="shared" ref="G358:G359" si="64">TRUNC($E358*F358,1)</f>
        <v>513766</v>
      </c>
      <c r="H358" s="45">
        <v>2</v>
      </c>
      <c r="I358" s="7">
        <f t="shared" ref="I358:I359" si="65">TRUNC($E358*H358,1)</f>
        <v>513766</v>
      </c>
      <c r="J358" s="45">
        <v>2</v>
      </c>
      <c r="K358" s="7">
        <f t="shared" ref="K358:K359" si="66">TRUNC($E358*J358,1)</f>
        <v>513766</v>
      </c>
      <c r="L358" s="45">
        <v>2</v>
      </c>
      <c r="M358" s="7">
        <f t="shared" ref="M358:M359" si="67">TRUNC($E358*L358,1)</f>
        <v>513766</v>
      </c>
    </row>
    <row r="359" spans="2:13" ht="12.95" customHeight="1" x14ac:dyDescent="0.3">
      <c r="B359" s="16" t="s">
        <v>3</v>
      </c>
      <c r="C359" s="9"/>
      <c r="D359" s="3" t="s">
        <v>10</v>
      </c>
      <c r="E359" s="55">
        <v>172068</v>
      </c>
      <c r="F359" s="45">
        <v>1</v>
      </c>
      <c r="G359" s="7">
        <f t="shared" si="64"/>
        <v>172068</v>
      </c>
      <c r="H359" s="45">
        <v>1</v>
      </c>
      <c r="I359" s="7">
        <f t="shared" si="65"/>
        <v>172068</v>
      </c>
      <c r="J359" s="45">
        <v>1</v>
      </c>
      <c r="K359" s="7">
        <f t="shared" si="66"/>
        <v>172068</v>
      </c>
      <c r="L359" s="45">
        <v>1</v>
      </c>
      <c r="M359" s="7">
        <f t="shared" si="67"/>
        <v>172068</v>
      </c>
    </row>
    <row r="360" spans="2:13" ht="12.95" customHeight="1" x14ac:dyDescent="0.3">
      <c r="B360" s="18" t="s">
        <v>12</v>
      </c>
      <c r="C360" s="36"/>
      <c r="D360" s="36"/>
      <c r="E360" s="44"/>
      <c r="F360" s="46"/>
      <c r="G360" s="42">
        <f>TRUNC(SUM(G358:G359))</f>
        <v>685834</v>
      </c>
      <c r="H360" s="46"/>
      <c r="I360" s="42">
        <f>TRUNC(SUM(I358:I359))</f>
        <v>685834</v>
      </c>
      <c r="J360" s="46"/>
      <c r="K360" s="42">
        <f>TRUNC(SUM(K358:K359))</f>
        <v>685834</v>
      </c>
      <c r="L360" s="46"/>
      <c r="M360" s="42">
        <f>TRUNC(SUM(M358:M359))</f>
        <v>685834</v>
      </c>
    </row>
    <row r="361" spans="2:13" ht="12.95" customHeight="1" x14ac:dyDescent="0.3">
      <c r="B361" s="35"/>
      <c r="C361" s="36"/>
      <c r="D361" s="36"/>
      <c r="E361" s="44"/>
      <c r="F361" s="46"/>
      <c r="G361" s="30"/>
      <c r="H361" s="46"/>
      <c r="I361" s="30"/>
      <c r="J361" s="46"/>
      <c r="K361" s="30"/>
      <c r="L361" s="46"/>
      <c r="M361" s="30"/>
    </row>
    <row r="362" spans="2:13" ht="12.95" customHeight="1" x14ac:dyDescent="0.3">
      <c r="B362" s="78" t="s">
        <v>14</v>
      </c>
      <c r="C362" s="36"/>
      <c r="D362" s="36"/>
      <c r="E362" s="79"/>
      <c r="F362" s="79"/>
      <c r="G362" s="80">
        <f>SUM(G360)</f>
        <v>685834</v>
      </c>
      <c r="H362" s="79"/>
      <c r="I362" s="80">
        <f>SUM(I360)</f>
        <v>685834</v>
      </c>
      <c r="J362" s="79"/>
      <c r="K362" s="80">
        <f>SUM(K360)</f>
        <v>685834</v>
      </c>
      <c r="L362" s="79"/>
      <c r="M362" s="80">
        <f>SUM(M360)</f>
        <v>685834</v>
      </c>
    </row>
    <row r="363" spans="2:13" ht="12.95" customHeight="1" x14ac:dyDescent="0.3">
      <c r="B363" s="15" t="s">
        <v>126</v>
      </c>
      <c r="C363" s="81"/>
      <c r="D363" s="82"/>
      <c r="E363" s="83"/>
      <c r="F363" s="84"/>
      <c r="G363" s="85">
        <f>TRUNC(G362/G356)</f>
        <v>9797</v>
      </c>
      <c r="H363" s="84"/>
      <c r="I363" s="85">
        <f>TRUNC(I362/I356)</f>
        <v>10551</v>
      </c>
      <c r="J363" s="84"/>
      <c r="K363" s="85">
        <f>TRUNC(K362/K356)</f>
        <v>10551</v>
      </c>
      <c r="L363" s="84"/>
      <c r="M363" s="85">
        <f>TRUNC(M362/M356)</f>
        <v>11430</v>
      </c>
    </row>
    <row r="365" spans="2:13" ht="12.95" customHeight="1" x14ac:dyDescent="0.3">
      <c r="B365" s="38" t="s">
        <v>134</v>
      </c>
      <c r="C365" s="39"/>
      <c r="D365" s="25"/>
      <c r="E365" s="40"/>
      <c r="F365" s="25"/>
      <c r="G365" s="25"/>
    </row>
    <row r="366" spans="2:13" ht="12.95" customHeight="1" x14ac:dyDescent="0.3">
      <c r="B366" s="89" t="s">
        <v>4</v>
      </c>
      <c r="C366" s="91" t="s">
        <v>16</v>
      </c>
      <c r="D366" s="93" t="s">
        <v>9</v>
      </c>
      <c r="E366" s="94" t="s">
        <v>5</v>
      </c>
      <c r="F366" s="93" t="s">
        <v>18</v>
      </c>
      <c r="G366" s="111" t="s">
        <v>19</v>
      </c>
    </row>
    <row r="367" spans="2:13" ht="12.95" customHeight="1" x14ac:dyDescent="0.3">
      <c r="B367" s="90"/>
      <c r="C367" s="92"/>
      <c r="D367" s="93"/>
      <c r="E367" s="95"/>
      <c r="F367" s="93"/>
      <c r="G367" s="112"/>
    </row>
    <row r="368" spans="2:13" ht="12.95" customHeight="1" x14ac:dyDescent="0.3">
      <c r="B368" s="11" t="s">
        <v>65</v>
      </c>
      <c r="C368" s="6"/>
      <c r="D368" s="49" t="s">
        <v>32</v>
      </c>
      <c r="E368" s="50">
        <v>0</v>
      </c>
      <c r="F368" s="47">
        <v>1.1000000000000001</v>
      </c>
      <c r="G368" s="7">
        <f t="shared" ref="G368" si="68">TRUNC($E368*F368,1)</f>
        <v>0</v>
      </c>
    </row>
    <row r="369" spans="2:13" ht="12.95" customHeight="1" x14ac:dyDescent="0.3">
      <c r="B369" s="20" t="s">
        <v>11</v>
      </c>
      <c r="C369" s="23"/>
      <c r="D369" s="22"/>
      <c r="E369" s="21"/>
      <c r="F369" s="27"/>
      <c r="G369" s="19">
        <f>TRUNC(SUM(G368:G368))</f>
        <v>0</v>
      </c>
    </row>
    <row r="370" spans="2:13" ht="12.95" customHeight="1" x14ac:dyDescent="0.3">
      <c r="B370" s="35"/>
      <c r="C370" s="36"/>
      <c r="D370" s="36"/>
      <c r="E370" s="44"/>
      <c r="F370" s="46"/>
      <c r="G370" s="30"/>
    </row>
    <row r="371" spans="2:13" ht="12.95" customHeight="1" x14ac:dyDescent="0.3">
      <c r="B371" s="15" t="s">
        <v>14</v>
      </c>
      <c r="C371" s="37"/>
      <c r="D371" s="37"/>
      <c r="E371" s="33"/>
      <c r="F371" s="33"/>
      <c r="G371" s="34">
        <f>SUM(G369)</f>
        <v>0</v>
      </c>
    </row>
    <row r="373" spans="2:13" ht="12.95" customHeight="1" x14ac:dyDescent="0.3">
      <c r="B373" s="2" t="s">
        <v>114</v>
      </c>
      <c r="C373" s="39"/>
      <c r="D373" s="25"/>
      <c r="E373" s="40"/>
      <c r="F373" s="25"/>
      <c r="G373" s="25"/>
      <c r="H373" s="25"/>
      <c r="I373" s="25"/>
      <c r="J373" s="25"/>
      <c r="K373" s="25"/>
      <c r="L373" s="25"/>
      <c r="M373" s="48" t="s">
        <v>124</v>
      </c>
    </row>
    <row r="374" spans="2:13" ht="12.95" customHeight="1" x14ac:dyDescent="0.3">
      <c r="B374" s="89" t="s">
        <v>4</v>
      </c>
      <c r="C374" s="91" t="s">
        <v>16</v>
      </c>
      <c r="D374" s="108" t="s">
        <v>9</v>
      </c>
      <c r="E374" s="94" t="s">
        <v>5</v>
      </c>
      <c r="F374" s="96" t="s">
        <v>97</v>
      </c>
      <c r="G374" s="97"/>
      <c r="H374" s="97"/>
      <c r="I374" s="97"/>
      <c r="J374" s="97"/>
      <c r="K374" s="97"/>
      <c r="L374" s="97"/>
      <c r="M374" s="97"/>
    </row>
    <row r="375" spans="2:13" ht="12.95" customHeight="1" x14ac:dyDescent="0.3">
      <c r="B375" s="106"/>
      <c r="C375" s="107"/>
      <c r="D375" s="109"/>
      <c r="E375" s="101"/>
      <c r="F375" s="96" t="s">
        <v>98</v>
      </c>
      <c r="G375" s="97"/>
      <c r="H375" s="96" t="s">
        <v>99</v>
      </c>
      <c r="I375" s="97"/>
      <c r="J375" s="96" t="s">
        <v>100</v>
      </c>
      <c r="K375" s="97"/>
      <c r="L375" s="96" t="s">
        <v>101</v>
      </c>
      <c r="M375" s="97"/>
    </row>
    <row r="376" spans="2:13" ht="12.95" customHeight="1" x14ac:dyDescent="0.3">
      <c r="B376" s="106"/>
      <c r="C376" s="107"/>
      <c r="D376" s="109"/>
      <c r="E376" s="101"/>
      <c r="F376" s="64" t="s">
        <v>127</v>
      </c>
      <c r="G376" s="65">
        <v>45</v>
      </c>
      <c r="H376" s="64" t="s">
        <v>125</v>
      </c>
      <c r="I376" s="65">
        <v>42</v>
      </c>
      <c r="J376" s="64" t="s">
        <v>127</v>
      </c>
      <c r="K376" s="65">
        <v>40</v>
      </c>
      <c r="L376" s="64" t="s">
        <v>125</v>
      </c>
      <c r="M376" s="65">
        <v>38</v>
      </c>
    </row>
    <row r="377" spans="2:13" ht="12.95" customHeight="1" x14ac:dyDescent="0.3">
      <c r="B377" s="90"/>
      <c r="C377" s="92"/>
      <c r="D377" s="110"/>
      <c r="E377" s="95"/>
      <c r="F377" s="62" t="s">
        <v>18</v>
      </c>
      <c r="G377" s="63" t="s">
        <v>19</v>
      </c>
      <c r="H377" s="62" t="s">
        <v>18</v>
      </c>
      <c r="I377" s="63" t="s">
        <v>19</v>
      </c>
      <c r="J377" s="62" t="s">
        <v>18</v>
      </c>
      <c r="K377" s="63" t="s">
        <v>19</v>
      </c>
      <c r="L377" s="62" t="s">
        <v>18</v>
      </c>
      <c r="M377" s="63" t="s">
        <v>19</v>
      </c>
    </row>
    <row r="378" spans="2:13" ht="12.95" customHeight="1" x14ac:dyDescent="0.3">
      <c r="B378" s="16" t="s">
        <v>0</v>
      </c>
      <c r="C378" s="9"/>
      <c r="D378" s="3" t="s">
        <v>10</v>
      </c>
      <c r="E378" s="55">
        <v>256883</v>
      </c>
      <c r="F378" s="45">
        <v>2</v>
      </c>
      <c r="G378" s="7">
        <f t="shared" ref="G378:G379" si="69">TRUNC($E378*F378,1)</f>
        <v>513766</v>
      </c>
      <c r="H378" s="45">
        <v>2</v>
      </c>
      <c r="I378" s="7">
        <f t="shared" ref="I378:I379" si="70">TRUNC($E378*H378,1)</f>
        <v>513766</v>
      </c>
      <c r="J378" s="45">
        <v>2</v>
      </c>
      <c r="K378" s="7">
        <f t="shared" ref="K378:K379" si="71">TRUNC($E378*J378,1)</f>
        <v>513766</v>
      </c>
      <c r="L378" s="45">
        <v>2</v>
      </c>
      <c r="M378" s="7">
        <f t="shared" ref="M378:M379" si="72">TRUNC($E378*L378,1)</f>
        <v>513766</v>
      </c>
    </row>
    <row r="379" spans="2:13" ht="12.95" customHeight="1" x14ac:dyDescent="0.3">
      <c r="B379" s="16" t="s">
        <v>3</v>
      </c>
      <c r="C379" s="9"/>
      <c r="D379" s="3" t="s">
        <v>10</v>
      </c>
      <c r="E379" s="55">
        <v>172068</v>
      </c>
      <c r="F379" s="45">
        <v>1</v>
      </c>
      <c r="G379" s="7">
        <f t="shared" si="69"/>
        <v>172068</v>
      </c>
      <c r="H379" s="45">
        <v>1</v>
      </c>
      <c r="I379" s="7">
        <f t="shared" si="70"/>
        <v>172068</v>
      </c>
      <c r="J379" s="45">
        <v>1</v>
      </c>
      <c r="K379" s="7">
        <f t="shared" si="71"/>
        <v>172068</v>
      </c>
      <c r="L379" s="45">
        <v>1</v>
      </c>
      <c r="M379" s="7">
        <f t="shared" si="72"/>
        <v>172068</v>
      </c>
    </row>
    <row r="380" spans="2:13" ht="12.95" customHeight="1" x14ac:dyDescent="0.3">
      <c r="B380" s="18" t="s">
        <v>12</v>
      </c>
      <c r="C380" s="36"/>
      <c r="D380" s="36"/>
      <c r="E380" s="44"/>
      <c r="F380" s="46"/>
      <c r="G380" s="42">
        <f>TRUNC(SUM(G378:G379))</f>
        <v>685834</v>
      </c>
      <c r="H380" s="46"/>
      <c r="I380" s="42">
        <f>TRUNC(SUM(I378:I379))</f>
        <v>685834</v>
      </c>
      <c r="J380" s="46"/>
      <c r="K380" s="42">
        <f>TRUNC(SUM(K378:K379))</f>
        <v>685834</v>
      </c>
      <c r="L380" s="46"/>
      <c r="M380" s="42">
        <f>TRUNC(SUM(M378:M379))</f>
        <v>685834</v>
      </c>
    </row>
    <row r="381" spans="2:13" ht="12.95" customHeight="1" x14ac:dyDescent="0.3">
      <c r="B381" s="35"/>
      <c r="C381" s="36"/>
      <c r="D381" s="36"/>
      <c r="E381" s="44"/>
      <c r="F381" s="46"/>
      <c r="G381" s="30"/>
      <c r="H381" s="46"/>
      <c r="I381" s="30"/>
      <c r="J381" s="46"/>
      <c r="K381" s="30"/>
      <c r="L381" s="46"/>
      <c r="M381" s="30"/>
    </row>
    <row r="382" spans="2:13" ht="12.95" customHeight="1" x14ac:dyDescent="0.3">
      <c r="B382" s="78" t="s">
        <v>14</v>
      </c>
      <c r="C382" s="36"/>
      <c r="D382" s="36"/>
      <c r="E382" s="79"/>
      <c r="F382" s="79"/>
      <c r="G382" s="80">
        <f>SUM(G380)</f>
        <v>685834</v>
      </c>
      <c r="H382" s="79"/>
      <c r="I382" s="80">
        <f>SUM(I380)</f>
        <v>685834</v>
      </c>
      <c r="J382" s="79"/>
      <c r="K382" s="80">
        <f>SUM(K380)</f>
        <v>685834</v>
      </c>
      <c r="L382" s="79"/>
      <c r="M382" s="80">
        <f>SUM(M380)</f>
        <v>685834</v>
      </c>
    </row>
    <row r="383" spans="2:13" ht="12.95" customHeight="1" x14ac:dyDescent="0.3">
      <c r="B383" s="15" t="s">
        <v>126</v>
      </c>
      <c r="C383" s="81"/>
      <c r="D383" s="82"/>
      <c r="E383" s="83"/>
      <c r="F383" s="84"/>
      <c r="G383" s="85">
        <f>TRUNC(G382/G376)</f>
        <v>15240</v>
      </c>
      <c r="H383" s="84"/>
      <c r="I383" s="85">
        <f>TRUNC(I382/I376)</f>
        <v>16329</v>
      </c>
      <c r="J383" s="84"/>
      <c r="K383" s="85">
        <f>TRUNC(K382/K376)</f>
        <v>17145</v>
      </c>
      <c r="L383" s="84"/>
      <c r="M383" s="85">
        <f>TRUNC(M382/M376)</f>
        <v>18048</v>
      </c>
    </row>
    <row r="385" spans="2:13" ht="12.95" customHeight="1" x14ac:dyDescent="0.3">
      <c r="B385" s="38" t="s">
        <v>134</v>
      </c>
      <c r="C385" s="39"/>
      <c r="D385" s="25"/>
      <c r="E385" s="40"/>
      <c r="F385" s="25"/>
      <c r="G385" s="25"/>
    </row>
    <row r="386" spans="2:13" ht="12.95" customHeight="1" x14ac:dyDescent="0.3">
      <c r="B386" s="89" t="s">
        <v>4</v>
      </c>
      <c r="C386" s="91" t="s">
        <v>16</v>
      </c>
      <c r="D386" s="93" t="s">
        <v>9</v>
      </c>
      <c r="E386" s="94" t="s">
        <v>5</v>
      </c>
      <c r="F386" s="93" t="s">
        <v>18</v>
      </c>
      <c r="G386" s="111" t="s">
        <v>19</v>
      </c>
    </row>
    <row r="387" spans="2:13" ht="12.95" customHeight="1" x14ac:dyDescent="0.3">
      <c r="B387" s="90"/>
      <c r="C387" s="92"/>
      <c r="D387" s="93"/>
      <c r="E387" s="95"/>
      <c r="F387" s="93"/>
      <c r="G387" s="112"/>
    </row>
    <row r="388" spans="2:13" ht="12.95" customHeight="1" x14ac:dyDescent="0.3">
      <c r="B388" s="11" t="s">
        <v>65</v>
      </c>
      <c r="C388" s="6"/>
      <c r="D388" s="49" t="s">
        <v>32</v>
      </c>
      <c r="E388" s="50">
        <v>0</v>
      </c>
      <c r="F388" s="47">
        <v>1.1000000000000001</v>
      </c>
      <c r="G388" s="7">
        <f t="shared" ref="G388:G390" si="73">TRUNC($E388*F388,1)</f>
        <v>0</v>
      </c>
    </row>
    <row r="389" spans="2:13" ht="12.95" customHeight="1" x14ac:dyDescent="0.3">
      <c r="B389" s="11" t="s">
        <v>115</v>
      </c>
      <c r="C389" s="6"/>
      <c r="D389" s="49" t="s">
        <v>116</v>
      </c>
      <c r="E389" s="50">
        <v>0</v>
      </c>
      <c r="F389" s="47">
        <v>6.3</v>
      </c>
      <c r="G389" s="7">
        <f t="shared" si="73"/>
        <v>0</v>
      </c>
    </row>
    <row r="390" spans="2:13" ht="12.95" customHeight="1" x14ac:dyDescent="0.3">
      <c r="B390" s="11" t="s">
        <v>66</v>
      </c>
      <c r="C390" s="6"/>
      <c r="D390" s="49" t="s">
        <v>23</v>
      </c>
      <c r="E390" s="50">
        <v>0</v>
      </c>
      <c r="F390" s="27">
        <v>0.03</v>
      </c>
      <c r="G390" s="7">
        <f t="shared" si="73"/>
        <v>0</v>
      </c>
    </row>
    <row r="391" spans="2:13" ht="12.95" customHeight="1" x14ac:dyDescent="0.3">
      <c r="B391" s="20" t="s">
        <v>11</v>
      </c>
      <c r="C391" s="23"/>
      <c r="D391" s="22"/>
      <c r="E391" s="21"/>
      <c r="F391" s="27"/>
      <c r="G391" s="19">
        <f>TRUNC(SUM(G388:G390))</f>
        <v>0</v>
      </c>
    </row>
    <row r="392" spans="2:13" ht="12.95" customHeight="1" x14ac:dyDescent="0.3">
      <c r="B392" s="35"/>
      <c r="C392" s="36"/>
      <c r="D392" s="36"/>
      <c r="E392" s="44"/>
      <c r="F392" s="46"/>
      <c r="G392" s="30"/>
    </row>
    <row r="393" spans="2:13" ht="12.95" customHeight="1" x14ac:dyDescent="0.3">
      <c r="B393" s="15" t="s">
        <v>14</v>
      </c>
      <c r="C393" s="37"/>
      <c r="D393" s="37"/>
      <c r="E393" s="33"/>
      <c r="F393" s="33"/>
      <c r="G393" s="34">
        <f>SUM(G391)</f>
        <v>0</v>
      </c>
    </row>
    <row r="395" spans="2:13" ht="12.95" customHeight="1" x14ac:dyDescent="0.3">
      <c r="B395" s="38" t="s">
        <v>117</v>
      </c>
      <c r="C395" s="39"/>
      <c r="D395" s="25"/>
      <c r="E395" s="40"/>
      <c r="F395" s="25"/>
      <c r="G395" s="25"/>
      <c r="H395" s="25"/>
      <c r="I395" s="25"/>
      <c r="J395" s="25"/>
      <c r="K395" s="25"/>
      <c r="L395" s="25"/>
      <c r="M395" s="48" t="s">
        <v>124</v>
      </c>
    </row>
    <row r="396" spans="2:13" ht="12.95" customHeight="1" x14ac:dyDescent="0.3">
      <c r="B396" s="89" t="s">
        <v>4</v>
      </c>
      <c r="C396" s="91" t="s">
        <v>16</v>
      </c>
      <c r="D396" s="108" t="s">
        <v>9</v>
      </c>
      <c r="E396" s="94" t="s">
        <v>5</v>
      </c>
      <c r="F396" s="96" t="s">
        <v>125</v>
      </c>
      <c r="G396" s="97"/>
      <c r="H396" s="97"/>
      <c r="I396" s="97"/>
      <c r="J396" s="97"/>
      <c r="K396" s="97"/>
      <c r="L396" s="97"/>
      <c r="M396" s="97"/>
    </row>
    <row r="397" spans="2:13" ht="12.95" customHeight="1" x14ac:dyDescent="0.3">
      <c r="B397" s="106"/>
      <c r="C397" s="107"/>
      <c r="D397" s="109"/>
      <c r="E397" s="101"/>
      <c r="F397" s="96" t="s">
        <v>104</v>
      </c>
      <c r="G397" s="97"/>
      <c r="H397" s="96" t="s">
        <v>105</v>
      </c>
      <c r="I397" s="97"/>
      <c r="J397" s="96" t="s">
        <v>106</v>
      </c>
      <c r="K397" s="97"/>
      <c r="L397" s="96" t="s">
        <v>107</v>
      </c>
      <c r="M397" s="97"/>
    </row>
    <row r="398" spans="2:13" ht="12.95" customHeight="1" x14ac:dyDescent="0.3">
      <c r="B398" s="106"/>
      <c r="C398" s="107"/>
      <c r="D398" s="109"/>
      <c r="E398" s="101"/>
      <c r="F398" s="64" t="s">
        <v>127</v>
      </c>
      <c r="G398" s="65">
        <v>50</v>
      </c>
      <c r="H398" s="64" t="s">
        <v>125</v>
      </c>
      <c r="I398" s="65">
        <v>42</v>
      </c>
      <c r="J398" s="64" t="s">
        <v>127</v>
      </c>
      <c r="K398" s="65">
        <v>45</v>
      </c>
      <c r="L398" s="64" t="s">
        <v>125</v>
      </c>
      <c r="M398" s="65">
        <v>38</v>
      </c>
    </row>
    <row r="399" spans="2:13" ht="12.95" customHeight="1" x14ac:dyDescent="0.3">
      <c r="B399" s="90"/>
      <c r="C399" s="92"/>
      <c r="D399" s="110"/>
      <c r="E399" s="95"/>
      <c r="F399" s="62" t="s">
        <v>18</v>
      </c>
      <c r="G399" s="63" t="s">
        <v>19</v>
      </c>
      <c r="H399" s="62" t="s">
        <v>18</v>
      </c>
      <c r="I399" s="63" t="s">
        <v>19</v>
      </c>
      <c r="J399" s="62" t="s">
        <v>18</v>
      </c>
      <c r="K399" s="63" t="s">
        <v>19</v>
      </c>
      <c r="L399" s="62" t="s">
        <v>18</v>
      </c>
      <c r="M399" s="63" t="s">
        <v>19</v>
      </c>
    </row>
    <row r="400" spans="2:13" ht="12.95" customHeight="1" x14ac:dyDescent="0.3">
      <c r="B400" s="16" t="s">
        <v>0</v>
      </c>
      <c r="C400" s="9"/>
      <c r="D400" s="3" t="s">
        <v>10</v>
      </c>
      <c r="E400" s="55">
        <v>256883</v>
      </c>
      <c r="F400" s="45">
        <v>2</v>
      </c>
      <c r="G400" s="7">
        <f t="shared" ref="G400:G401" si="74">TRUNC($E400*F400,1)</f>
        <v>513766</v>
      </c>
      <c r="H400" s="45">
        <v>2</v>
      </c>
      <c r="I400" s="7">
        <f t="shared" ref="I400:I401" si="75">TRUNC($E400*H400,1)</f>
        <v>513766</v>
      </c>
      <c r="J400" s="45">
        <v>2</v>
      </c>
      <c r="K400" s="7">
        <f t="shared" ref="K400:K401" si="76">TRUNC($E400*J400,1)</f>
        <v>513766</v>
      </c>
      <c r="L400" s="45">
        <v>2</v>
      </c>
      <c r="M400" s="7">
        <f t="shared" ref="M400:M401" si="77">TRUNC($E400*L400,1)</f>
        <v>513766</v>
      </c>
    </row>
    <row r="401" spans="2:13" ht="12.95" customHeight="1" x14ac:dyDescent="0.3">
      <c r="B401" s="16" t="s">
        <v>3</v>
      </c>
      <c r="C401" s="9"/>
      <c r="D401" s="3" t="s">
        <v>10</v>
      </c>
      <c r="E401" s="55">
        <v>172068</v>
      </c>
      <c r="F401" s="45">
        <v>1</v>
      </c>
      <c r="G401" s="7">
        <f t="shared" si="74"/>
        <v>172068</v>
      </c>
      <c r="H401" s="45">
        <v>1</v>
      </c>
      <c r="I401" s="7">
        <f t="shared" si="75"/>
        <v>172068</v>
      </c>
      <c r="J401" s="45">
        <v>1</v>
      </c>
      <c r="K401" s="7">
        <f t="shared" si="76"/>
        <v>172068</v>
      </c>
      <c r="L401" s="45">
        <v>1</v>
      </c>
      <c r="M401" s="7">
        <f t="shared" si="77"/>
        <v>172068</v>
      </c>
    </row>
    <row r="402" spans="2:13" ht="12.95" customHeight="1" x14ac:dyDescent="0.3">
      <c r="B402" s="18" t="s">
        <v>12</v>
      </c>
      <c r="C402" s="36"/>
      <c r="D402" s="36"/>
      <c r="E402" s="44"/>
      <c r="F402" s="46"/>
      <c r="G402" s="42">
        <f>TRUNC(SUM(G400:G401))</f>
        <v>685834</v>
      </c>
      <c r="H402" s="46"/>
      <c r="I402" s="42">
        <f>TRUNC(SUM(I400:I401))</f>
        <v>685834</v>
      </c>
      <c r="J402" s="46"/>
      <c r="K402" s="42">
        <f>TRUNC(SUM(K400:K401))</f>
        <v>685834</v>
      </c>
      <c r="L402" s="46"/>
      <c r="M402" s="42">
        <f>TRUNC(SUM(M400:M401))</f>
        <v>685834</v>
      </c>
    </row>
    <row r="403" spans="2:13" ht="12.95" customHeight="1" x14ac:dyDescent="0.3">
      <c r="B403" s="35"/>
      <c r="C403" s="36"/>
      <c r="D403" s="36"/>
      <c r="E403" s="44"/>
      <c r="F403" s="46"/>
      <c r="G403" s="30"/>
      <c r="H403" s="46"/>
      <c r="I403" s="30"/>
      <c r="J403" s="46"/>
      <c r="K403" s="30"/>
      <c r="L403" s="46"/>
      <c r="M403" s="30"/>
    </row>
    <row r="404" spans="2:13" ht="12.95" customHeight="1" x14ac:dyDescent="0.3">
      <c r="B404" s="78" t="s">
        <v>14</v>
      </c>
      <c r="C404" s="36"/>
      <c r="D404" s="36"/>
      <c r="E404" s="79"/>
      <c r="F404" s="79"/>
      <c r="G404" s="80">
        <f>SUM(G402)</f>
        <v>685834</v>
      </c>
      <c r="H404" s="79"/>
      <c r="I404" s="80">
        <f>SUM(I402)</f>
        <v>685834</v>
      </c>
      <c r="J404" s="79"/>
      <c r="K404" s="80">
        <f>SUM(K402)</f>
        <v>685834</v>
      </c>
      <c r="L404" s="79"/>
      <c r="M404" s="80">
        <f>SUM(M402)</f>
        <v>685834</v>
      </c>
    </row>
    <row r="405" spans="2:13" ht="12.95" customHeight="1" x14ac:dyDescent="0.3">
      <c r="B405" s="15" t="s">
        <v>126</v>
      </c>
      <c r="C405" s="81"/>
      <c r="D405" s="82"/>
      <c r="E405" s="83"/>
      <c r="F405" s="84"/>
      <c r="G405" s="85">
        <f>TRUNC(G404/G398)</f>
        <v>13716</v>
      </c>
      <c r="H405" s="84"/>
      <c r="I405" s="85">
        <f>TRUNC(I404/I398)</f>
        <v>16329</v>
      </c>
      <c r="J405" s="84"/>
      <c r="K405" s="85">
        <f>TRUNC(K404/K398)</f>
        <v>15240</v>
      </c>
      <c r="L405" s="84"/>
      <c r="M405" s="85">
        <f>TRUNC(M404/M398)</f>
        <v>18048</v>
      </c>
    </row>
    <row r="406" spans="2:13" ht="12.95" customHeight="1" x14ac:dyDescent="0.3">
      <c r="B406" s="89" t="s">
        <v>4</v>
      </c>
      <c r="C406" s="91" t="s">
        <v>16</v>
      </c>
      <c r="D406" s="108" t="s">
        <v>9</v>
      </c>
      <c r="E406" s="94" t="s">
        <v>5</v>
      </c>
      <c r="F406" s="96" t="s">
        <v>125</v>
      </c>
      <c r="G406" s="97"/>
      <c r="H406" s="97"/>
      <c r="I406" s="97"/>
      <c r="J406" s="97"/>
      <c r="K406" s="97"/>
      <c r="L406" s="97"/>
      <c r="M406" s="97"/>
    </row>
    <row r="407" spans="2:13" ht="12.95" customHeight="1" x14ac:dyDescent="0.3">
      <c r="B407" s="106"/>
      <c r="C407" s="107"/>
      <c r="D407" s="109"/>
      <c r="E407" s="101"/>
      <c r="F407" s="96" t="s">
        <v>108</v>
      </c>
      <c r="G407" s="97"/>
      <c r="H407" s="96" t="s">
        <v>109</v>
      </c>
      <c r="I407" s="97"/>
      <c r="J407" s="96" t="s">
        <v>110</v>
      </c>
      <c r="K407" s="97"/>
      <c r="L407" s="96" t="s">
        <v>111</v>
      </c>
      <c r="M407" s="97"/>
    </row>
    <row r="408" spans="2:13" ht="12.95" customHeight="1" x14ac:dyDescent="0.3">
      <c r="B408" s="106"/>
      <c r="C408" s="107"/>
      <c r="D408" s="109"/>
      <c r="E408" s="101"/>
      <c r="F408" s="64" t="s">
        <v>127</v>
      </c>
      <c r="G408" s="65">
        <v>42</v>
      </c>
      <c r="H408" s="64" t="s">
        <v>125</v>
      </c>
      <c r="I408" s="65">
        <v>35</v>
      </c>
      <c r="J408" s="64" t="s">
        <v>127</v>
      </c>
      <c r="K408" s="65">
        <v>40</v>
      </c>
      <c r="L408" s="64" t="s">
        <v>125</v>
      </c>
      <c r="M408" s="65">
        <v>33</v>
      </c>
    </row>
    <row r="409" spans="2:13" ht="12.95" customHeight="1" x14ac:dyDescent="0.3">
      <c r="B409" s="90"/>
      <c r="C409" s="92"/>
      <c r="D409" s="110"/>
      <c r="E409" s="95"/>
      <c r="F409" s="62" t="s">
        <v>18</v>
      </c>
      <c r="G409" s="63" t="s">
        <v>19</v>
      </c>
      <c r="H409" s="62" t="s">
        <v>18</v>
      </c>
      <c r="I409" s="63" t="s">
        <v>19</v>
      </c>
      <c r="J409" s="62" t="s">
        <v>18</v>
      </c>
      <c r="K409" s="63" t="s">
        <v>19</v>
      </c>
      <c r="L409" s="62" t="s">
        <v>18</v>
      </c>
      <c r="M409" s="63" t="s">
        <v>19</v>
      </c>
    </row>
    <row r="410" spans="2:13" ht="12.95" customHeight="1" x14ac:dyDescent="0.3">
      <c r="B410" s="16" t="s">
        <v>0</v>
      </c>
      <c r="C410" s="9"/>
      <c r="D410" s="3" t="s">
        <v>10</v>
      </c>
      <c r="E410" s="55">
        <v>256883</v>
      </c>
      <c r="F410" s="45">
        <v>2</v>
      </c>
      <c r="G410" s="7">
        <f t="shared" ref="G410:G411" si="78">TRUNC($E410*F410,1)</f>
        <v>513766</v>
      </c>
      <c r="H410" s="45">
        <v>2</v>
      </c>
      <c r="I410" s="7">
        <f t="shared" ref="I410:I411" si="79">TRUNC($E410*H410,1)</f>
        <v>513766</v>
      </c>
      <c r="J410" s="45">
        <v>2</v>
      </c>
      <c r="K410" s="7">
        <f t="shared" ref="K410:K411" si="80">TRUNC($E410*J410,1)</f>
        <v>513766</v>
      </c>
      <c r="L410" s="45">
        <v>2</v>
      </c>
      <c r="M410" s="7">
        <f t="shared" ref="M410:M411" si="81">TRUNC($E410*L410,1)</f>
        <v>513766</v>
      </c>
    </row>
    <row r="411" spans="2:13" ht="12.95" customHeight="1" x14ac:dyDescent="0.3">
      <c r="B411" s="16" t="s">
        <v>3</v>
      </c>
      <c r="C411" s="9"/>
      <c r="D411" s="3" t="s">
        <v>10</v>
      </c>
      <c r="E411" s="55">
        <v>172068</v>
      </c>
      <c r="F411" s="45">
        <v>1</v>
      </c>
      <c r="G411" s="7">
        <f t="shared" si="78"/>
        <v>172068</v>
      </c>
      <c r="H411" s="45">
        <v>1</v>
      </c>
      <c r="I411" s="7">
        <f t="shared" si="79"/>
        <v>172068</v>
      </c>
      <c r="J411" s="45">
        <v>1</v>
      </c>
      <c r="K411" s="7">
        <f t="shared" si="80"/>
        <v>172068</v>
      </c>
      <c r="L411" s="45">
        <v>1</v>
      </c>
      <c r="M411" s="7">
        <f t="shared" si="81"/>
        <v>172068</v>
      </c>
    </row>
    <row r="412" spans="2:13" ht="12.95" customHeight="1" x14ac:dyDescent="0.3">
      <c r="B412" s="18" t="s">
        <v>12</v>
      </c>
      <c r="C412" s="36"/>
      <c r="D412" s="36"/>
      <c r="E412" s="44"/>
      <c r="F412" s="46"/>
      <c r="G412" s="42">
        <f>TRUNC(SUM(G410:G411))</f>
        <v>685834</v>
      </c>
      <c r="H412" s="46"/>
      <c r="I412" s="42">
        <f>TRUNC(SUM(I410:I411))</f>
        <v>685834</v>
      </c>
      <c r="J412" s="46"/>
      <c r="K412" s="42">
        <f>TRUNC(SUM(K410:K411))</f>
        <v>685834</v>
      </c>
      <c r="L412" s="46"/>
      <c r="M412" s="42">
        <f>TRUNC(SUM(M410:M411))</f>
        <v>685834</v>
      </c>
    </row>
    <row r="413" spans="2:13" ht="12.95" customHeight="1" x14ac:dyDescent="0.3">
      <c r="B413" s="35"/>
      <c r="C413" s="36"/>
      <c r="D413" s="36"/>
      <c r="E413" s="44"/>
      <c r="F413" s="46"/>
      <c r="G413" s="30"/>
      <c r="H413" s="46"/>
      <c r="I413" s="30"/>
      <c r="J413" s="46"/>
      <c r="K413" s="30"/>
      <c r="L413" s="46"/>
      <c r="M413" s="30"/>
    </row>
    <row r="414" spans="2:13" ht="12.95" customHeight="1" x14ac:dyDescent="0.3">
      <c r="B414" s="78" t="s">
        <v>14</v>
      </c>
      <c r="C414" s="36"/>
      <c r="D414" s="36"/>
      <c r="E414" s="79"/>
      <c r="F414" s="79"/>
      <c r="G414" s="80">
        <f>SUM(G412)</f>
        <v>685834</v>
      </c>
      <c r="H414" s="79"/>
      <c r="I414" s="80">
        <f>SUM(I412)</f>
        <v>685834</v>
      </c>
      <c r="J414" s="79"/>
      <c r="K414" s="80">
        <f>SUM(K412)</f>
        <v>685834</v>
      </c>
      <c r="L414" s="79"/>
      <c r="M414" s="80">
        <f>SUM(M412)</f>
        <v>685834</v>
      </c>
    </row>
    <row r="415" spans="2:13" ht="12.95" customHeight="1" x14ac:dyDescent="0.3">
      <c r="B415" s="15" t="s">
        <v>126</v>
      </c>
      <c r="C415" s="81"/>
      <c r="D415" s="82"/>
      <c r="E415" s="83"/>
      <c r="F415" s="84"/>
      <c r="G415" s="85">
        <f>TRUNC(G414/G408)</f>
        <v>16329</v>
      </c>
      <c r="H415" s="84"/>
      <c r="I415" s="85">
        <f>TRUNC(I414/I408)</f>
        <v>19595</v>
      </c>
      <c r="J415" s="84"/>
      <c r="K415" s="85">
        <f>TRUNC(K414/K408)</f>
        <v>17145</v>
      </c>
      <c r="L415" s="84"/>
      <c r="M415" s="85">
        <f>TRUNC(M414/M408)</f>
        <v>20782</v>
      </c>
    </row>
    <row r="417" spans="2:13" ht="12.95" customHeight="1" x14ac:dyDescent="0.3">
      <c r="B417" s="2" t="s">
        <v>118</v>
      </c>
      <c r="C417" s="39"/>
      <c r="D417" s="25"/>
      <c r="E417" s="40"/>
      <c r="F417" s="25"/>
      <c r="G417" s="25"/>
      <c r="H417" s="25"/>
      <c r="I417" s="25"/>
      <c r="J417" s="25"/>
      <c r="K417" s="25"/>
      <c r="L417" s="25"/>
      <c r="M417" s="48" t="s">
        <v>124</v>
      </c>
    </row>
    <row r="418" spans="2:13" ht="12.95" customHeight="1" x14ac:dyDescent="0.3">
      <c r="B418" s="89" t="s">
        <v>4</v>
      </c>
      <c r="C418" s="91" t="s">
        <v>16</v>
      </c>
      <c r="D418" s="108" t="s">
        <v>9</v>
      </c>
      <c r="E418" s="94" t="s">
        <v>5</v>
      </c>
      <c r="F418" s="96" t="s">
        <v>97</v>
      </c>
      <c r="G418" s="97"/>
      <c r="H418" s="97"/>
      <c r="I418" s="97"/>
      <c r="J418" s="97"/>
      <c r="K418" s="97"/>
      <c r="L418" s="97"/>
      <c r="M418" s="97"/>
    </row>
    <row r="419" spans="2:13" ht="12.95" customHeight="1" x14ac:dyDescent="0.3">
      <c r="B419" s="106"/>
      <c r="C419" s="107"/>
      <c r="D419" s="109"/>
      <c r="E419" s="101"/>
      <c r="F419" s="96" t="s">
        <v>98</v>
      </c>
      <c r="G419" s="97"/>
      <c r="H419" s="96" t="s">
        <v>99</v>
      </c>
      <c r="I419" s="97"/>
      <c r="J419" s="96" t="s">
        <v>100</v>
      </c>
      <c r="K419" s="97"/>
      <c r="L419" s="96" t="s">
        <v>101</v>
      </c>
      <c r="M419" s="97"/>
    </row>
    <row r="420" spans="2:13" ht="12.95" customHeight="1" x14ac:dyDescent="0.3">
      <c r="B420" s="106"/>
      <c r="C420" s="107"/>
      <c r="D420" s="109"/>
      <c r="E420" s="101"/>
      <c r="F420" s="64" t="s">
        <v>127</v>
      </c>
      <c r="G420" s="65">
        <v>75</v>
      </c>
      <c r="H420" s="64" t="s">
        <v>125</v>
      </c>
      <c r="I420" s="65">
        <v>70</v>
      </c>
      <c r="J420" s="64" t="s">
        <v>127</v>
      </c>
      <c r="K420" s="65">
        <v>65</v>
      </c>
      <c r="L420" s="64" t="s">
        <v>125</v>
      </c>
      <c r="M420" s="65">
        <v>60</v>
      </c>
    </row>
    <row r="421" spans="2:13" ht="12.95" customHeight="1" x14ac:dyDescent="0.3">
      <c r="B421" s="90"/>
      <c r="C421" s="92"/>
      <c r="D421" s="110"/>
      <c r="E421" s="95"/>
      <c r="F421" s="62" t="s">
        <v>18</v>
      </c>
      <c r="G421" s="63" t="s">
        <v>19</v>
      </c>
      <c r="H421" s="62" t="s">
        <v>18</v>
      </c>
      <c r="I421" s="63" t="s">
        <v>19</v>
      </c>
      <c r="J421" s="62" t="s">
        <v>18</v>
      </c>
      <c r="K421" s="63" t="s">
        <v>19</v>
      </c>
      <c r="L421" s="62" t="s">
        <v>18</v>
      </c>
      <c r="M421" s="63" t="s">
        <v>19</v>
      </c>
    </row>
    <row r="422" spans="2:13" ht="12.95" customHeight="1" x14ac:dyDescent="0.3">
      <c r="B422" s="11" t="s">
        <v>20</v>
      </c>
      <c r="C422" s="6" t="s">
        <v>21</v>
      </c>
      <c r="D422" s="49" t="s">
        <v>15</v>
      </c>
      <c r="E422" s="12"/>
      <c r="F422" s="45">
        <v>1</v>
      </c>
      <c r="G422" s="13">
        <f>TRUNC(SUM(G425:G426)*0.02,1)</f>
        <v>13716.6</v>
      </c>
      <c r="H422" s="45">
        <v>1</v>
      </c>
      <c r="I422" s="13">
        <f>TRUNC(SUM(I425:I426)*0.02,1)</f>
        <v>13716.6</v>
      </c>
      <c r="J422" s="45">
        <v>1</v>
      </c>
      <c r="K422" s="13">
        <f>TRUNC(SUM(K425:K426)*0.02,1)</f>
        <v>13716.6</v>
      </c>
      <c r="L422" s="45">
        <v>1</v>
      </c>
      <c r="M422" s="13">
        <f>TRUNC(SUM(M425:M426)*0.02,1)</f>
        <v>13716.6</v>
      </c>
    </row>
    <row r="423" spans="2:13" ht="12.95" customHeight="1" x14ac:dyDescent="0.3">
      <c r="B423" s="20" t="s">
        <v>11</v>
      </c>
      <c r="C423" s="23"/>
      <c r="D423" s="22"/>
      <c r="E423" s="21"/>
      <c r="F423" s="27"/>
      <c r="G423" s="19">
        <f>TRUNC(SUM(G422:G422))</f>
        <v>13716</v>
      </c>
      <c r="H423" s="27"/>
      <c r="I423" s="19">
        <f>TRUNC(SUM(I422:I422))</f>
        <v>13716</v>
      </c>
      <c r="J423" s="27"/>
      <c r="K423" s="19">
        <f>TRUNC(SUM(K422:K422))</f>
        <v>13716</v>
      </c>
      <c r="L423" s="27"/>
      <c r="M423" s="19">
        <f>TRUNC(SUM(M422:M422))</f>
        <v>13716</v>
      </c>
    </row>
    <row r="424" spans="2:13" ht="12.95" customHeight="1" x14ac:dyDescent="0.3">
      <c r="B424" s="35"/>
      <c r="C424" s="36"/>
      <c r="D424" s="36"/>
      <c r="E424" s="44"/>
      <c r="F424" s="46"/>
      <c r="G424" s="30"/>
      <c r="H424" s="46"/>
      <c r="I424" s="30"/>
      <c r="J424" s="46"/>
      <c r="K424" s="30"/>
      <c r="L424" s="46"/>
      <c r="M424" s="30"/>
    </row>
    <row r="425" spans="2:13" ht="12.95" customHeight="1" x14ac:dyDescent="0.3">
      <c r="B425" s="16" t="s">
        <v>0</v>
      </c>
      <c r="C425" s="9"/>
      <c r="D425" s="3" t="s">
        <v>10</v>
      </c>
      <c r="E425" s="55">
        <v>256883</v>
      </c>
      <c r="F425" s="45">
        <v>2</v>
      </c>
      <c r="G425" s="7">
        <f t="shared" ref="G425:G426" si="82">TRUNC($E425*F425,1)</f>
        <v>513766</v>
      </c>
      <c r="H425" s="45">
        <v>2</v>
      </c>
      <c r="I425" s="7">
        <f t="shared" ref="I425:I426" si="83">TRUNC($E425*H425,1)</f>
        <v>513766</v>
      </c>
      <c r="J425" s="45">
        <v>2</v>
      </c>
      <c r="K425" s="7">
        <f t="shared" ref="K425:K426" si="84">TRUNC($E425*J425,1)</f>
        <v>513766</v>
      </c>
      <c r="L425" s="45">
        <v>2</v>
      </c>
      <c r="M425" s="7">
        <f t="shared" ref="M425:M426" si="85">TRUNC($E425*L425,1)</f>
        <v>513766</v>
      </c>
    </row>
    <row r="426" spans="2:13" ht="12.95" customHeight="1" x14ac:dyDescent="0.3">
      <c r="B426" s="16" t="s">
        <v>3</v>
      </c>
      <c r="C426" s="9"/>
      <c r="D426" s="3" t="s">
        <v>10</v>
      </c>
      <c r="E426" s="55">
        <v>172068</v>
      </c>
      <c r="F426" s="45">
        <v>1</v>
      </c>
      <c r="G426" s="7">
        <f t="shared" si="82"/>
        <v>172068</v>
      </c>
      <c r="H426" s="45">
        <v>1</v>
      </c>
      <c r="I426" s="7">
        <f t="shared" si="83"/>
        <v>172068</v>
      </c>
      <c r="J426" s="45">
        <v>1</v>
      </c>
      <c r="K426" s="7">
        <f t="shared" si="84"/>
        <v>172068</v>
      </c>
      <c r="L426" s="45">
        <v>1</v>
      </c>
      <c r="M426" s="7">
        <f t="shared" si="85"/>
        <v>172068</v>
      </c>
    </row>
    <row r="427" spans="2:13" ht="12.95" customHeight="1" x14ac:dyDescent="0.3">
      <c r="B427" s="18" t="s">
        <v>12</v>
      </c>
      <c r="C427" s="36"/>
      <c r="D427" s="36"/>
      <c r="E427" s="44"/>
      <c r="F427" s="46"/>
      <c r="G427" s="42">
        <f>TRUNC(SUM(G425:G426))</f>
        <v>685834</v>
      </c>
      <c r="H427" s="46"/>
      <c r="I427" s="42">
        <f>TRUNC(SUM(I425:I426))</f>
        <v>685834</v>
      </c>
      <c r="J427" s="46"/>
      <c r="K427" s="42">
        <f>TRUNC(SUM(K425:K426))</f>
        <v>685834</v>
      </c>
      <c r="L427" s="46"/>
      <c r="M427" s="42">
        <f>TRUNC(SUM(M425:M426))</f>
        <v>685834</v>
      </c>
    </row>
    <row r="428" spans="2:13" ht="12.95" customHeight="1" x14ac:dyDescent="0.3">
      <c r="B428" s="35"/>
      <c r="C428" s="36"/>
      <c r="D428" s="36"/>
      <c r="E428" s="44"/>
      <c r="F428" s="46"/>
      <c r="G428" s="30"/>
      <c r="H428" s="46"/>
      <c r="I428" s="30"/>
      <c r="J428" s="46"/>
      <c r="K428" s="30"/>
      <c r="L428" s="46"/>
      <c r="M428" s="30"/>
    </row>
    <row r="429" spans="2:13" ht="12.95" customHeight="1" x14ac:dyDescent="0.3">
      <c r="B429" s="78" t="s">
        <v>14</v>
      </c>
      <c r="C429" s="36"/>
      <c r="D429" s="36"/>
      <c r="E429" s="79"/>
      <c r="F429" s="79"/>
      <c r="G429" s="86">
        <f>SUM(G423+G427)</f>
        <v>699550</v>
      </c>
      <c r="H429" s="79"/>
      <c r="I429" s="86">
        <f>SUM(I423+I427)</f>
        <v>699550</v>
      </c>
      <c r="J429" s="79"/>
      <c r="K429" s="86">
        <f>SUM(K423+K427)</f>
        <v>699550</v>
      </c>
      <c r="L429" s="79"/>
      <c r="M429" s="80">
        <f>SUM(M423+M427)</f>
        <v>699550</v>
      </c>
    </row>
    <row r="430" spans="2:13" ht="12.95" customHeight="1" x14ac:dyDescent="0.3">
      <c r="B430" s="15" t="s">
        <v>126</v>
      </c>
      <c r="C430" s="81"/>
      <c r="D430" s="82"/>
      <c r="E430" s="83"/>
      <c r="F430" s="84"/>
      <c r="G430" s="88">
        <f>TRUNC(G429/G420)</f>
        <v>9327</v>
      </c>
      <c r="H430" s="84"/>
      <c r="I430" s="85">
        <f>TRUNC(I429/I420)</f>
        <v>9993</v>
      </c>
      <c r="J430" s="84"/>
      <c r="K430" s="85">
        <f>TRUNC(K429/K420)</f>
        <v>10762</v>
      </c>
      <c r="L430" s="84"/>
      <c r="M430" s="85">
        <f>TRUNC(M429/M420)</f>
        <v>11659</v>
      </c>
    </row>
    <row r="432" spans="2:13" ht="12.95" customHeight="1" x14ac:dyDescent="0.3">
      <c r="B432" s="38" t="s">
        <v>134</v>
      </c>
      <c r="C432" s="39"/>
      <c r="D432" s="25"/>
      <c r="E432" s="40"/>
      <c r="F432" s="25"/>
      <c r="G432" s="25"/>
    </row>
    <row r="433" spans="2:13" ht="12.95" customHeight="1" x14ac:dyDescent="0.3">
      <c r="B433" s="89" t="s">
        <v>4</v>
      </c>
      <c r="C433" s="91" t="s">
        <v>16</v>
      </c>
      <c r="D433" s="93" t="s">
        <v>9</v>
      </c>
      <c r="E433" s="94" t="s">
        <v>5</v>
      </c>
      <c r="F433" s="93" t="s">
        <v>18</v>
      </c>
      <c r="G433" s="111" t="s">
        <v>19</v>
      </c>
    </row>
    <row r="434" spans="2:13" ht="12.95" customHeight="1" x14ac:dyDescent="0.3">
      <c r="B434" s="90"/>
      <c r="C434" s="92"/>
      <c r="D434" s="93"/>
      <c r="E434" s="95"/>
      <c r="F434" s="93"/>
      <c r="G434" s="112"/>
    </row>
    <row r="435" spans="2:13" ht="12.95" customHeight="1" x14ac:dyDescent="0.3">
      <c r="B435" s="11" t="s">
        <v>65</v>
      </c>
      <c r="C435" s="6"/>
      <c r="D435" s="49" t="s">
        <v>32</v>
      </c>
      <c r="E435" s="50">
        <v>0</v>
      </c>
      <c r="F435" s="47">
        <v>1.1000000000000001</v>
      </c>
      <c r="G435" s="7">
        <f t="shared" ref="G435" si="86">TRUNC($E435*F435,1)</f>
        <v>0</v>
      </c>
    </row>
    <row r="436" spans="2:13" ht="12.95" customHeight="1" x14ac:dyDescent="0.3">
      <c r="B436" s="20" t="s">
        <v>11</v>
      </c>
      <c r="C436" s="23"/>
      <c r="D436" s="22"/>
      <c r="E436" s="21"/>
      <c r="F436" s="27"/>
      <c r="G436" s="19">
        <f>TRUNC(SUM(G435:G435))</f>
        <v>0</v>
      </c>
    </row>
    <row r="437" spans="2:13" ht="12.95" customHeight="1" x14ac:dyDescent="0.3">
      <c r="B437" s="35"/>
      <c r="C437" s="36"/>
      <c r="D437" s="36"/>
      <c r="E437" s="44"/>
      <c r="F437" s="46"/>
      <c r="G437" s="30"/>
    </row>
    <row r="438" spans="2:13" ht="12.95" customHeight="1" x14ac:dyDescent="0.3">
      <c r="B438" s="15" t="s">
        <v>14</v>
      </c>
      <c r="C438" s="37"/>
      <c r="D438" s="37"/>
      <c r="E438" s="33"/>
      <c r="F438" s="33"/>
      <c r="G438" s="34">
        <f>SUM(G436)</f>
        <v>0</v>
      </c>
    </row>
    <row r="440" spans="2:13" ht="12.95" customHeight="1" x14ac:dyDescent="0.3">
      <c r="B440" s="2" t="s">
        <v>119</v>
      </c>
      <c r="C440" s="39"/>
      <c r="D440" s="25"/>
      <c r="E440" s="40"/>
      <c r="F440" s="25"/>
      <c r="G440" s="25"/>
      <c r="H440" s="25"/>
      <c r="I440" s="25"/>
      <c r="J440" s="25"/>
      <c r="K440" s="25"/>
      <c r="L440" s="25"/>
      <c r="M440" s="48" t="s">
        <v>124</v>
      </c>
    </row>
    <row r="441" spans="2:13" ht="12.95" customHeight="1" x14ac:dyDescent="0.3">
      <c r="B441" s="89" t="s">
        <v>4</v>
      </c>
      <c r="C441" s="91" t="s">
        <v>16</v>
      </c>
      <c r="D441" s="108" t="s">
        <v>9</v>
      </c>
      <c r="E441" s="94" t="s">
        <v>5</v>
      </c>
      <c r="F441" s="96" t="s">
        <v>97</v>
      </c>
      <c r="G441" s="97"/>
      <c r="H441" s="97"/>
      <c r="I441" s="97"/>
      <c r="J441" s="97"/>
      <c r="K441" s="97"/>
      <c r="L441" s="97"/>
      <c r="M441" s="97"/>
    </row>
    <row r="442" spans="2:13" ht="12.95" customHeight="1" x14ac:dyDescent="0.3">
      <c r="B442" s="106"/>
      <c r="C442" s="107"/>
      <c r="D442" s="109"/>
      <c r="E442" s="101"/>
      <c r="F442" s="96" t="s">
        <v>98</v>
      </c>
      <c r="G442" s="97"/>
      <c r="H442" s="96" t="s">
        <v>99</v>
      </c>
      <c r="I442" s="97"/>
      <c r="J442" s="96" t="s">
        <v>100</v>
      </c>
      <c r="K442" s="97"/>
      <c r="L442" s="96" t="s">
        <v>101</v>
      </c>
      <c r="M442" s="97"/>
    </row>
    <row r="443" spans="2:13" ht="12.95" customHeight="1" x14ac:dyDescent="0.3">
      <c r="B443" s="106"/>
      <c r="C443" s="107"/>
      <c r="D443" s="109"/>
      <c r="E443" s="101"/>
      <c r="F443" s="64" t="s">
        <v>127</v>
      </c>
      <c r="G443" s="65">
        <v>260</v>
      </c>
      <c r="H443" s="64" t="s">
        <v>125</v>
      </c>
      <c r="I443" s="65">
        <v>220</v>
      </c>
      <c r="J443" s="64" t="s">
        <v>127</v>
      </c>
      <c r="K443" s="65">
        <v>190</v>
      </c>
      <c r="L443" s="64" t="s">
        <v>125</v>
      </c>
      <c r="M443" s="65">
        <v>170</v>
      </c>
    </row>
    <row r="444" spans="2:13" ht="12.95" customHeight="1" x14ac:dyDescent="0.3">
      <c r="B444" s="90"/>
      <c r="C444" s="92"/>
      <c r="D444" s="110"/>
      <c r="E444" s="95"/>
      <c r="F444" s="62" t="s">
        <v>18</v>
      </c>
      <c r="G444" s="63" t="s">
        <v>19</v>
      </c>
      <c r="H444" s="62" t="s">
        <v>18</v>
      </c>
      <c r="I444" s="63" t="s">
        <v>19</v>
      </c>
      <c r="J444" s="62" t="s">
        <v>18</v>
      </c>
      <c r="K444" s="63" t="s">
        <v>19</v>
      </c>
      <c r="L444" s="62" t="s">
        <v>18</v>
      </c>
      <c r="M444" s="63" t="s">
        <v>19</v>
      </c>
    </row>
    <row r="445" spans="2:13" ht="12.95" customHeight="1" x14ac:dyDescent="0.3">
      <c r="B445" s="16" t="s">
        <v>0</v>
      </c>
      <c r="C445" s="9"/>
      <c r="D445" s="3" t="s">
        <v>10</v>
      </c>
      <c r="E445" s="55">
        <v>256883</v>
      </c>
      <c r="F445" s="45">
        <v>2</v>
      </c>
      <c r="G445" s="7">
        <f t="shared" ref="G445:G446" si="87">TRUNC($E445*F445,1)</f>
        <v>513766</v>
      </c>
      <c r="H445" s="45">
        <v>2</v>
      </c>
      <c r="I445" s="7">
        <f t="shared" ref="I445:I446" si="88">TRUNC($E445*H445,1)</f>
        <v>513766</v>
      </c>
      <c r="J445" s="45">
        <v>2</v>
      </c>
      <c r="K445" s="7">
        <f t="shared" ref="K445:K446" si="89">TRUNC($E445*J445,1)</f>
        <v>513766</v>
      </c>
      <c r="L445" s="45">
        <v>2</v>
      </c>
      <c r="M445" s="7">
        <f t="shared" ref="M445:M446" si="90">TRUNC($E445*L445,1)</f>
        <v>513766</v>
      </c>
    </row>
    <row r="446" spans="2:13" ht="12.95" customHeight="1" x14ac:dyDescent="0.3">
      <c r="B446" s="16" t="s">
        <v>3</v>
      </c>
      <c r="C446" s="9"/>
      <c r="D446" s="3" t="s">
        <v>10</v>
      </c>
      <c r="E446" s="55">
        <v>172068</v>
      </c>
      <c r="F446" s="45">
        <v>1</v>
      </c>
      <c r="G446" s="7">
        <f t="shared" si="87"/>
        <v>172068</v>
      </c>
      <c r="H446" s="45">
        <v>1</v>
      </c>
      <c r="I446" s="7">
        <f t="shared" si="88"/>
        <v>172068</v>
      </c>
      <c r="J446" s="45">
        <v>1</v>
      </c>
      <c r="K446" s="7">
        <f t="shared" si="89"/>
        <v>172068</v>
      </c>
      <c r="L446" s="45">
        <v>1</v>
      </c>
      <c r="M446" s="7">
        <f t="shared" si="90"/>
        <v>172068</v>
      </c>
    </row>
    <row r="447" spans="2:13" ht="12.95" customHeight="1" x14ac:dyDescent="0.3">
      <c r="B447" s="18" t="s">
        <v>12</v>
      </c>
      <c r="C447" s="36"/>
      <c r="D447" s="36"/>
      <c r="E447" s="44"/>
      <c r="F447" s="46"/>
      <c r="G447" s="42">
        <f>TRUNC(SUM(G445:G446))</f>
        <v>685834</v>
      </c>
      <c r="H447" s="46"/>
      <c r="I447" s="42">
        <f>TRUNC(SUM(I445:I446))</f>
        <v>685834</v>
      </c>
      <c r="J447" s="46"/>
      <c r="K447" s="42">
        <f>TRUNC(SUM(K445:K446))</f>
        <v>685834</v>
      </c>
      <c r="L447" s="46"/>
      <c r="M447" s="42">
        <f>TRUNC(SUM(M445:M446))</f>
        <v>685834</v>
      </c>
    </row>
    <row r="448" spans="2:13" ht="12.95" customHeight="1" x14ac:dyDescent="0.3">
      <c r="B448" s="35"/>
      <c r="C448" s="36"/>
      <c r="D448" s="36"/>
      <c r="E448" s="44"/>
      <c r="F448" s="46"/>
      <c r="G448" s="30"/>
      <c r="H448" s="46"/>
      <c r="I448" s="30"/>
      <c r="J448" s="46"/>
      <c r="K448" s="30"/>
      <c r="L448" s="46"/>
      <c r="M448" s="30"/>
    </row>
    <row r="449" spans="2:13" ht="12.95" customHeight="1" x14ac:dyDescent="0.3">
      <c r="B449" s="78" t="s">
        <v>14</v>
      </c>
      <c r="C449" s="36"/>
      <c r="D449" s="36"/>
      <c r="E449" s="79"/>
      <c r="F449" s="79"/>
      <c r="G449" s="80">
        <f>SUM(G447)</f>
        <v>685834</v>
      </c>
      <c r="H449" s="79"/>
      <c r="I449" s="80">
        <f>SUM(I447)</f>
        <v>685834</v>
      </c>
      <c r="J449" s="79"/>
      <c r="K449" s="80">
        <f>SUM(K447)</f>
        <v>685834</v>
      </c>
      <c r="L449" s="79"/>
      <c r="M449" s="80">
        <f>SUM(M447)</f>
        <v>685834</v>
      </c>
    </row>
    <row r="450" spans="2:13" ht="12.95" customHeight="1" x14ac:dyDescent="0.3">
      <c r="B450" s="15" t="s">
        <v>126</v>
      </c>
      <c r="C450" s="81"/>
      <c r="D450" s="82"/>
      <c r="E450" s="83"/>
      <c r="F450" s="84"/>
      <c r="G450" s="85">
        <f>TRUNC(G449/G443)</f>
        <v>2637</v>
      </c>
      <c r="H450" s="84"/>
      <c r="I450" s="85">
        <f>TRUNC(I449/I443)</f>
        <v>3117</v>
      </c>
      <c r="J450" s="84"/>
      <c r="K450" s="85">
        <f>TRUNC(K449/K443)</f>
        <v>3609</v>
      </c>
      <c r="L450" s="84"/>
      <c r="M450" s="85">
        <f>TRUNC(M449/M443)</f>
        <v>4034</v>
      </c>
    </row>
    <row r="452" spans="2:13" ht="12.95" customHeight="1" x14ac:dyDescent="0.3">
      <c r="B452" s="38" t="s">
        <v>134</v>
      </c>
      <c r="C452" s="39"/>
      <c r="D452" s="25"/>
      <c r="E452" s="40"/>
      <c r="F452" s="25"/>
      <c r="G452" s="25"/>
    </row>
    <row r="453" spans="2:13" ht="12.95" customHeight="1" x14ac:dyDescent="0.3">
      <c r="B453" s="89" t="s">
        <v>4</v>
      </c>
      <c r="C453" s="91" t="s">
        <v>16</v>
      </c>
      <c r="D453" s="93" t="s">
        <v>9</v>
      </c>
      <c r="E453" s="94" t="s">
        <v>5</v>
      </c>
      <c r="F453" s="93" t="s">
        <v>18</v>
      </c>
      <c r="G453" s="111" t="s">
        <v>19</v>
      </c>
    </row>
    <row r="454" spans="2:13" ht="12.95" customHeight="1" x14ac:dyDescent="0.3">
      <c r="B454" s="90"/>
      <c r="C454" s="92"/>
      <c r="D454" s="93"/>
      <c r="E454" s="95"/>
      <c r="F454" s="93"/>
      <c r="G454" s="112"/>
    </row>
    <row r="455" spans="2:13" ht="12.95" customHeight="1" x14ac:dyDescent="0.3">
      <c r="B455" s="11" t="s">
        <v>65</v>
      </c>
      <c r="C455" s="6"/>
      <c r="D455" s="49" t="s">
        <v>32</v>
      </c>
      <c r="E455" s="50">
        <v>0</v>
      </c>
      <c r="F455" s="27">
        <v>1.05</v>
      </c>
      <c r="G455" s="7">
        <f t="shared" ref="G455:G456" si="91">TRUNC($E455*F455,1)</f>
        <v>0</v>
      </c>
    </row>
    <row r="456" spans="2:13" ht="12.95" customHeight="1" x14ac:dyDescent="0.3">
      <c r="B456" s="11" t="s">
        <v>66</v>
      </c>
      <c r="C456" s="6" t="s">
        <v>120</v>
      </c>
      <c r="D456" s="49" t="s">
        <v>23</v>
      </c>
      <c r="E456" s="50">
        <v>0</v>
      </c>
      <c r="F456" s="27">
        <v>0.35</v>
      </c>
      <c r="G456" s="7">
        <f t="shared" si="91"/>
        <v>0</v>
      </c>
    </row>
    <row r="457" spans="2:13" ht="12.95" customHeight="1" x14ac:dyDescent="0.3">
      <c r="B457" s="20" t="s">
        <v>11</v>
      </c>
      <c r="C457" s="23"/>
      <c r="D457" s="22"/>
      <c r="E457" s="21"/>
      <c r="F457" s="27"/>
      <c r="G457" s="19">
        <f>TRUNC(SUM(G455:G456))</f>
        <v>0</v>
      </c>
    </row>
    <row r="458" spans="2:13" ht="12.95" customHeight="1" x14ac:dyDescent="0.3">
      <c r="B458" s="35"/>
      <c r="C458" s="36"/>
      <c r="D458" s="36"/>
      <c r="E458" s="44"/>
      <c r="F458" s="46"/>
      <c r="G458" s="30"/>
    </row>
    <row r="459" spans="2:13" ht="12.95" customHeight="1" x14ac:dyDescent="0.3">
      <c r="B459" s="15" t="s">
        <v>14</v>
      </c>
      <c r="C459" s="37"/>
      <c r="D459" s="37"/>
      <c r="E459" s="33"/>
      <c r="F459" s="33"/>
      <c r="G459" s="34">
        <f>SUM(G457)</f>
        <v>0</v>
      </c>
    </row>
    <row r="460" spans="2:13" ht="12.95" customHeight="1" x14ac:dyDescent="0.3">
      <c r="B460" s="2" t="s">
        <v>146</v>
      </c>
    </row>
    <row r="462" spans="2:13" ht="12.95" customHeight="1" x14ac:dyDescent="0.3">
      <c r="B462" s="38" t="s">
        <v>121</v>
      </c>
      <c r="C462" s="39"/>
      <c r="D462" s="25"/>
      <c r="E462" s="40"/>
      <c r="F462" s="25"/>
      <c r="G462" s="25"/>
      <c r="H462" s="25"/>
      <c r="I462" s="40" t="s">
        <v>24</v>
      </c>
    </row>
    <row r="463" spans="2:13" ht="12.95" customHeight="1" x14ac:dyDescent="0.3">
      <c r="B463" s="89" t="s">
        <v>4</v>
      </c>
      <c r="C463" s="91" t="s">
        <v>16</v>
      </c>
      <c r="D463" s="93" t="s">
        <v>9</v>
      </c>
      <c r="E463" s="94" t="s">
        <v>5</v>
      </c>
      <c r="F463" s="96" t="s">
        <v>67</v>
      </c>
      <c r="G463" s="97"/>
      <c r="H463" s="96" t="s">
        <v>68</v>
      </c>
      <c r="I463" s="97"/>
    </row>
    <row r="464" spans="2:13" ht="12.95" customHeight="1" x14ac:dyDescent="0.3">
      <c r="B464" s="90"/>
      <c r="C464" s="92"/>
      <c r="D464" s="93"/>
      <c r="E464" s="95"/>
      <c r="F464" s="51" t="s">
        <v>6</v>
      </c>
      <c r="G464" s="52" t="s">
        <v>7</v>
      </c>
      <c r="H464" s="51" t="s">
        <v>6</v>
      </c>
      <c r="I464" s="52" t="s">
        <v>7</v>
      </c>
    </row>
    <row r="465" spans="2:11" ht="12.95" customHeight="1" x14ac:dyDescent="0.3">
      <c r="B465" s="16" t="s">
        <v>0</v>
      </c>
      <c r="C465" s="9"/>
      <c r="D465" s="3" t="s">
        <v>10</v>
      </c>
      <c r="E465" s="55">
        <v>256883</v>
      </c>
      <c r="F465" s="53">
        <v>5.0000000000000001E-3</v>
      </c>
      <c r="G465" s="7">
        <f t="shared" ref="G465:G466" si="92">TRUNC($E465*F465,1)</f>
        <v>1284.4000000000001</v>
      </c>
      <c r="H465" s="53">
        <v>7.0000000000000001E-3</v>
      </c>
      <c r="I465" s="7">
        <f t="shared" ref="I465:I466" si="93">TRUNC($E465*H465,1)</f>
        <v>1798.1</v>
      </c>
    </row>
    <row r="466" spans="2:11" ht="12.95" customHeight="1" x14ac:dyDescent="0.3">
      <c r="B466" s="16" t="s">
        <v>3</v>
      </c>
      <c r="C466" s="9"/>
      <c r="D466" s="3" t="s">
        <v>10</v>
      </c>
      <c r="E466" s="55">
        <v>172068</v>
      </c>
      <c r="F466" s="53">
        <v>1E-3</v>
      </c>
      <c r="G466" s="7">
        <f t="shared" si="92"/>
        <v>172</v>
      </c>
      <c r="H466" s="53">
        <v>1E-3</v>
      </c>
      <c r="I466" s="7">
        <f t="shared" si="93"/>
        <v>172</v>
      </c>
    </row>
    <row r="467" spans="2:11" ht="12.95" customHeight="1" x14ac:dyDescent="0.3">
      <c r="B467" s="18" t="s">
        <v>12</v>
      </c>
      <c r="C467" s="36"/>
      <c r="D467" s="36"/>
      <c r="E467" s="44"/>
      <c r="F467" s="46"/>
      <c r="G467" s="42">
        <f>TRUNC(SUM(G465:G466))</f>
        <v>1456</v>
      </c>
      <c r="H467" s="46"/>
      <c r="I467" s="42">
        <f>TRUNC(SUM(I465:I466))</f>
        <v>1970</v>
      </c>
    </row>
    <row r="468" spans="2:11" ht="12.95" customHeight="1" x14ac:dyDescent="0.3">
      <c r="B468" s="35"/>
      <c r="C468" s="36"/>
      <c r="D468" s="36"/>
      <c r="E468" s="44"/>
      <c r="F468" s="46"/>
      <c r="G468" s="30"/>
      <c r="H468" s="46"/>
      <c r="I468" s="30"/>
    </row>
    <row r="469" spans="2:11" ht="12.95" customHeight="1" x14ac:dyDescent="0.3">
      <c r="B469" s="15" t="s">
        <v>14</v>
      </c>
      <c r="C469" s="37"/>
      <c r="D469" s="37"/>
      <c r="E469" s="33"/>
      <c r="F469" s="33"/>
      <c r="G469" s="34">
        <f>SUM(G467)</f>
        <v>1456</v>
      </c>
      <c r="H469" s="33"/>
      <c r="I469" s="34">
        <f>SUM(I467)</f>
        <v>1970</v>
      </c>
    </row>
    <row r="471" spans="2:11" ht="12.95" customHeight="1" x14ac:dyDescent="0.3">
      <c r="B471" s="38" t="s">
        <v>134</v>
      </c>
      <c r="C471" s="39"/>
      <c r="D471" s="25"/>
      <c r="E471" s="40"/>
      <c r="F471" s="25"/>
      <c r="G471" s="25"/>
      <c r="H471" s="25"/>
      <c r="I471" s="40"/>
    </row>
    <row r="472" spans="2:11" ht="12.95" customHeight="1" x14ac:dyDescent="0.3">
      <c r="B472" s="89" t="s">
        <v>4</v>
      </c>
      <c r="C472" s="91" t="s">
        <v>16</v>
      </c>
      <c r="D472" s="93" t="s">
        <v>9</v>
      </c>
      <c r="E472" s="94" t="s">
        <v>5</v>
      </c>
      <c r="F472" s="96" t="s">
        <v>67</v>
      </c>
      <c r="G472" s="97"/>
      <c r="H472" s="96" t="s">
        <v>68</v>
      </c>
      <c r="I472" s="97"/>
    </row>
    <row r="473" spans="2:11" ht="12.95" customHeight="1" x14ac:dyDescent="0.3">
      <c r="B473" s="90"/>
      <c r="C473" s="92"/>
      <c r="D473" s="93"/>
      <c r="E473" s="95"/>
      <c r="F473" s="51" t="s">
        <v>6</v>
      </c>
      <c r="G473" s="52" t="s">
        <v>7</v>
      </c>
      <c r="H473" s="51" t="s">
        <v>6</v>
      </c>
      <c r="I473" s="52" t="s">
        <v>7</v>
      </c>
    </row>
    <row r="474" spans="2:11" ht="12.95" customHeight="1" x14ac:dyDescent="0.3">
      <c r="B474" s="11" t="s">
        <v>69</v>
      </c>
      <c r="C474" s="6" t="s">
        <v>70</v>
      </c>
      <c r="D474" s="49" t="s">
        <v>32</v>
      </c>
      <c r="E474" s="50">
        <v>0</v>
      </c>
      <c r="F474" s="27">
        <v>1.1499999999999999</v>
      </c>
      <c r="G474" s="7">
        <f t="shared" ref="G474" si="94">TRUNC($E474*F474,1)</f>
        <v>0</v>
      </c>
      <c r="H474" s="27">
        <v>1.1499999999999999</v>
      </c>
      <c r="I474" s="7">
        <f t="shared" ref="I474" si="95">TRUNC($E474*H474,1)</f>
        <v>0</v>
      </c>
    </row>
    <row r="475" spans="2:11" ht="12.95" customHeight="1" x14ac:dyDescent="0.3">
      <c r="B475" s="20" t="s">
        <v>11</v>
      </c>
      <c r="C475" s="23"/>
      <c r="D475" s="22"/>
      <c r="E475" s="21"/>
      <c r="F475" s="27"/>
      <c r="G475" s="19">
        <f>TRUNC(SUM(G474:G474))</f>
        <v>0</v>
      </c>
      <c r="H475" s="27"/>
      <c r="I475" s="19">
        <f>TRUNC(SUM(I474:I474))</f>
        <v>0</v>
      </c>
    </row>
    <row r="476" spans="2:11" ht="12.95" customHeight="1" x14ac:dyDescent="0.3">
      <c r="B476" s="35"/>
      <c r="C476" s="36"/>
      <c r="D476" s="36"/>
      <c r="E476" s="44"/>
      <c r="F476" s="46"/>
      <c r="G476" s="30"/>
      <c r="H476" s="46"/>
      <c r="I476" s="30"/>
    </row>
    <row r="477" spans="2:11" ht="12.95" customHeight="1" x14ac:dyDescent="0.3">
      <c r="B477" s="15" t="s">
        <v>14</v>
      </c>
      <c r="C477" s="37"/>
      <c r="D477" s="37"/>
      <c r="E477" s="33"/>
      <c r="F477" s="33"/>
      <c r="G477" s="34">
        <f>SUM(G475)</f>
        <v>0</v>
      </c>
      <c r="H477" s="33"/>
      <c r="I477" s="34">
        <f>SUM(I475)</f>
        <v>0</v>
      </c>
    </row>
    <row r="478" spans="2:11" ht="12.95" customHeight="1" x14ac:dyDescent="0.3">
      <c r="B478" s="2" t="s">
        <v>145</v>
      </c>
    </row>
    <row r="480" spans="2:11" ht="12.95" customHeight="1" x14ac:dyDescent="0.3">
      <c r="B480" s="38" t="s">
        <v>123</v>
      </c>
      <c r="C480" s="39"/>
      <c r="D480" s="25"/>
      <c r="E480" s="40"/>
      <c r="F480" s="25"/>
      <c r="G480" s="25"/>
      <c r="H480" s="25"/>
      <c r="I480" s="25"/>
      <c r="J480" s="25"/>
      <c r="K480" s="40" t="s">
        <v>24</v>
      </c>
    </row>
    <row r="481" spans="2:11" ht="12.95" customHeight="1" x14ac:dyDescent="0.3">
      <c r="B481" s="89" t="s">
        <v>4</v>
      </c>
      <c r="C481" s="91" t="s">
        <v>16</v>
      </c>
      <c r="D481" s="108" t="s">
        <v>9</v>
      </c>
      <c r="E481" s="94" t="s">
        <v>5</v>
      </c>
      <c r="F481" s="96" t="s">
        <v>71</v>
      </c>
      <c r="G481" s="97"/>
      <c r="H481" s="96" t="s">
        <v>72</v>
      </c>
      <c r="I481" s="97"/>
      <c r="J481" s="96" t="s">
        <v>122</v>
      </c>
      <c r="K481" s="97"/>
    </row>
    <row r="482" spans="2:11" ht="12.95" customHeight="1" x14ac:dyDescent="0.3">
      <c r="B482" s="90"/>
      <c r="C482" s="92"/>
      <c r="D482" s="110"/>
      <c r="E482" s="95"/>
      <c r="F482" s="51" t="s">
        <v>6</v>
      </c>
      <c r="G482" s="52" t="s">
        <v>7</v>
      </c>
      <c r="H482" s="51" t="s">
        <v>6</v>
      </c>
      <c r="I482" s="52" t="s">
        <v>7</v>
      </c>
      <c r="J482" s="51" t="s">
        <v>6</v>
      </c>
      <c r="K482" s="52" t="s">
        <v>7</v>
      </c>
    </row>
    <row r="483" spans="2:11" ht="12.95" customHeight="1" x14ac:dyDescent="0.3">
      <c r="B483" s="11" t="s">
        <v>20</v>
      </c>
      <c r="C483" s="6" t="s">
        <v>35</v>
      </c>
      <c r="D483" s="49" t="s">
        <v>15</v>
      </c>
      <c r="E483" s="12"/>
      <c r="F483" s="45">
        <v>1</v>
      </c>
      <c r="G483" s="13">
        <f>TRUNC(SUM(G486:G488)*0.01,1)</f>
        <v>312.8</v>
      </c>
      <c r="H483" s="45">
        <v>1</v>
      </c>
      <c r="I483" s="13">
        <f>TRUNC(SUM(I486:I488)*0.01,1)</f>
        <v>329.5</v>
      </c>
      <c r="J483" s="45">
        <v>1</v>
      </c>
      <c r="K483" s="13">
        <f>TRUNC(SUM(K486:K488)*0.01,1)</f>
        <v>424.5</v>
      </c>
    </row>
    <row r="484" spans="2:11" ht="12.95" customHeight="1" x14ac:dyDescent="0.3">
      <c r="B484" s="20" t="s">
        <v>11</v>
      </c>
      <c r="C484" s="23"/>
      <c r="D484" s="22"/>
      <c r="E484" s="21"/>
      <c r="F484" s="27"/>
      <c r="G484" s="19">
        <f>TRUNC(SUM(G483:G483))</f>
        <v>312</v>
      </c>
      <c r="H484" s="27"/>
      <c r="I484" s="19">
        <f>TRUNC(SUM(I483:I483))</f>
        <v>329</v>
      </c>
      <c r="J484" s="27"/>
      <c r="K484" s="19">
        <f>TRUNC(SUM(K483:K483))</f>
        <v>424</v>
      </c>
    </row>
    <row r="485" spans="2:11" ht="12.95" customHeight="1" x14ac:dyDescent="0.3">
      <c r="B485" s="35"/>
      <c r="C485" s="36"/>
      <c r="D485" s="36"/>
      <c r="E485" s="44"/>
      <c r="F485" s="46"/>
      <c r="G485" s="30"/>
      <c r="H485" s="46"/>
      <c r="I485" s="30"/>
      <c r="J485" s="46"/>
      <c r="K485" s="30"/>
    </row>
    <row r="486" spans="2:11" ht="12.95" customHeight="1" x14ac:dyDescent="0.3">
      <c r="B486" s="16" t="s">
        <v>0</v>
      </c>
      <c r="C486" s="9"/>
      <c r="D486" s="3" t="s">
        <v>10</v>
      </c>
      <c r="E486" s="55">
        <v>256883</v>
      </c>
      <c r="F486" s="53">
        <v>0.06</v>
      </c>
      <c r="G486" s="7">
        <f t="shared" ref="G486:G488" si="96">TRUNC($E486*F486,1)</f>
        <v>15412.9</v>
      </c>
      <c r="H486" s="53">
        <v>6.3E-2</v>
      </c>
      <c r="I486" s="7">
        <f t="shared" ref="I486:I488" si="97">TRUNC($E486*H486,1)</f>
        <v>16183.6</v>
      </c>
      <c r="J486" s="53">
        <v>8.1000000000000003E-2</v>
      </c>
      <c r="K486" s="7">
        <f t="shared" ref="K486:K488" si="98">TRUNC($E486*J486,1)</f>
        <v>20807.5</v>
      </c>
    </row>
    <row r="487" spans="2:11" ht="12.95" customHeight="1" x14ac:dyDescent="0.3">
      <c r="B487" s="16" t="s">
        <v>2</v>
      </c>
      <c r="C487" s="9"/>
      <c r="D487" s="3" t="s">
        <v>10</v>
      </c>
      <c r="E487" s="55">
        <v>277276</v>
      </c>
      <c r="F487" s="53">
        <v>3.7999999999999999E-2</v>
      </c>
      <c r="G487" s="7">
        <f t="shared" si="96"/>
        <v>10536.4</v>
      </c>
      <c r="H487" s="53">
        <v>0.04</v>
      </c>
      <c r="I487" s="7">
        <f t="shared" si="97"/>
        <v>11091</v>
      </c>
      <c r="J487" s="53">
        <v>5.1999999999999998E-2</v>
      </c>
      <c r="K487" s="7">
        <f t="shared" si="98"/>
        <v>14418.3</v>
      </c>
    </row>
    <row r="488" spans="2:11" ht="12.95" customHeight="1" x14ac:dyDescent="0.3">
      <c r="B488" s="16" t="s">
        <v>3</v>
      </c>
      <c r="C488" s="9"/>
      <c r="D488" s="3" t="s">
        <v>10</v>
      </c>
      <c r="E488" s="55">
        <v>172068</v>
      </c>
      <c r="F488" s="53">
        <v>3.1E-2</v>
      </c>
      <c r="G488" s="7">
        <f t="shared" si="96"/>
        <v>5334.1</v>
      </c>
      <c r="H488" s="53">
        <v>3.3000000000000002E-2</v>
      </c>
      <c r="I488" s="7">
        <f t="shared" si="97"/>
        <v>5678.2</v>
      </c>
      <c r="J488" s="53">
        <v>4.2000000000000003E-2</v>
      </c>
      <c r="K488" s="7">
        <f t="shared" si="98"/>
        <v>7226.8</v>
      </c>
    </row>
    <row r="489" spans="2:11" ht="12.95" customHeight="1" x14ac:dyDescent="0.3">
      <c r="B489" s="18" t="s">
        <v>12</v>
      </c>
      <c r="C489" s="36"/>
      <c r="D489" s="36"/>
      <c r="E489" s="44"/>
      <c r="F489" s="46"/>
      <c r="G489" s="42">
        <f>TRUNC(SUM(G486:G488))</f>
        <v>31283</v>
      </c>
      <c r="H489" s="46"/>
      <c r="I489" s="42">
        <f>TRUNC(SUM(I486:I488))</f>
        <v>32952</v>
      </c>
      <c r="J489" s="46"/>
      <c r="K489" s="42">
        <f>TRUNC(SUM(K486:K488))</f>
        <v>42452</v>
      </c>
    </row>
    <row r="490" spans="2:11" ht="12.95" customHeight="1" x14ac:dyDescent="0.3">
      <c r="B490" s="35"/>
      <c r="C490" s="36"/>
      <c r="D490" s="36"/>
      <c r="E490" s="44"/>
      <c r="F490" s="46"/>
      <c r="G490" s="30"/>
      <c r="H490" s="46"/>
      <c r="I490" s="30"/>
      <c r="J490" s="46"/>
      <c r="K490" s="30"/>
    </row>
    <row r="491" spans="2:11" ht="12.95" customHeight="1" x14ac:dyDescent="0.3">
      <c r="B491" s="15" t="s">
        <v>14</v>
      </c>
      <c r="C491" s="37"/>
      <c r="D491" s="37"/>
      <c r="E491" s="33"/>
      <c r="F491" s="33"/>
      <c r="G491" s="34">
        <f>SUM(G484+G489)</f>
        <v>31595</v>
      </c>
      <c r="H491" s="33"/>
      <c r="I491" s="34">
        <f>SUM(I484+I489)</f>
        <v>33281</v>
      </c>
      <c r="J491" s="33"/>
      <c r="K491" s="34">
        <f>SUM(K484+K489)</f>
        <v>42876</v>
      </c>
    </row>
    <row r="493" spans="2:11" ht="12.95" customHeight="1" x14ac:dyDescent="0.3">
      <c r="B493" s="38" t="s">
        <v>73</v>
      </c>
      <c r="C493" s="39"/>
      <c r="D493" s="25"/>
      <c r="E493" s="40"/>
      <c r="F493" s="25"/>
      <c r="G493" s="40" t="s">
        <v>24</v>
      </c>
    </row>
    <row r="494" spans="2:11" ht="12.95" customHeight="1" x14ac:dyDescent="0.3">
      <c r="B494" s="89" t="s">
        <v>4</v>
      </c>
      <c r="C494" s="91" t="s">
        <v>16</v>
      </c>
      <c r="D494" s="93" t="s">
        <v>9</v>
      </c>
      <c r="E494" s="94" t="s">
        <v>5</v>
      </c>
      <c r="F494" s="93" t="s">
        <v>18</v>
      </c>
      <c r="G494" s="111" t="s">
        <v>19</v>
      </c>
    </row>
    <row r="495" spans="2:11" ht="12.95" customHeight="1" x14ac:dyDescent="0.3">
      <c r="B495" s="90"/>
      <c r="C495" s="92"/>
      <c r="D495" s="93"/>
      <c r="E495" s="95"/>
      <c r="F495" s="93"/>
      <c r="G495" s="112"/>
    </row>
    <row r="496" spans="2:11" ht="12.95" customHeight="1" x14ac:dyDescent="0.3">
      <c r="B496" s="16" t="s">
        <v>2</v>
      </c>
      <c r="C496" s="9"/>
      <c r="D496" s="3" t="s">
        <v>10</v>
      </c>
      <c r="E496" s="55">
        <v>277276</v>
      </c>
      <c r="F496" s="53">
        <v>7.5999999999999998E-2</v>
      </c>
      <c r="G496" s="7">
        <f t="shared" ref="G496:G497" si="99">TRUNC($E496*F496,1)</f>
        <v>21072.9</v>
      </c>
    </row>
    <row r="497" spans="2:12" ht="12.95" customHeight="1" x14ac:dyDescent="0.3">
      <c r="B497" s="16" t="s">
        <v>3</v>
      </c>
      <c r="C497" s="9"/>
      <c r="D497" s="3" t="s">
        <v>10</v>
      </c>
      <c r="E497" s="55">
        <v>172068</v>
      </c>
      <c r="F497" s="53">
        <v>2.5000000000000001E-2</v>
      </c>
      <c r="G497" s="7">
        <f t="shared" si="99"/>
        <v>4301.7</v>
      </c>
    </row>
    <row r="498" spans="2:12" ht="12.95" customHeight="1" x14ac:dyDescent="0.3">
      <c r="B498" s="18" t="s">
        <v>12</v>
      </c>
      <c r="C498" s="36"/>
      <c r="D498" s="36"/>
      <c r="E498" s="44"/>
      <c r="F498" s="46"/>
      <c r="G498" s="42">
        <f>TRUNC(SUM(G496:G497))</f>
        <v>25374</v>
      </c>
    </row>
    <row r="499" spans="2:12" ht="12.95" customHeight="1" x14ac:dyDescent="0.3">
      <c r="B499" s="35"/>
      <c r="C499" s="36"/>
      <c r="D499" s="36"/>
      <c r="E499" s="44"/>
      <c r="F499" s="46"/>
      <c r="G499" s="30"/>
    </row>
    <row r="500" spans="2:12" ht="12.95" customHeight="1" x14ac:dyDescent="0.3">
      <c r="B500" s="15" t="s">
        <v>14</v>
      </c>
      <c r="C500" s="37"/>
      <c r="D500" s="37"/>
      <c r="E500" s="33"/>
      <c r="F500" s="33"/>
      <c r="G500" s="34">
        <f>SUM(G498)</f>
        <v>25374</v>
      </c>
    </row>
    <row r="502" spans="2:12" ht="12.95" customHeight="1" x14ac:dyDescent="0.3">
      <c r="B502" s="38" t="s">
        <v>64</v>
      </c>
      <c r="C502" s="39"/>
      <c r="D502" s="25"/>
      <c r="E502" s="40"/>
      <c r="F502" s="25"/>
      <c r="G502" s="25"/>
      <c r="H502" s="25"/>
      <c r="I502" s="40" t="s">
        <v>74</v>
      </c>
      <c r="K502" s="10"/>
      <c r="L502" s="10"/>
    </row>
    <row r="503" spans="2:12" ht="12.95" customHeight="1" x14ac:dyDescent="0.3">
      <c r="B503" s="89" t="s">
        <v>4</v>
      </c>
      <c r="C503" s="91" t="s">
        <v>16</v>
      </c>
      <c r="D503" s="93" t="s">
        <v>9</v>
      </c>
      <c r="E503" s="94" t="s">
        <v>5</v>
      </c>
      <c r="F503" s="96" t="s">
        <v>79</v>
      </c>
      <c r="G503" s="97"/>
      <c r="H503" s="96" t="s">
        <v>80</v>
      </c>
      <c r="I503" s="97"/>
      <c r="K503" s="10"/>
      <c r="L503" s="10"/>
    </row>
    <row r="504" spans="2:12" ht="12.95" customHeight="1" x14ac:dyDescent="0.3">
      <c r="B504" s="90"/>
      <c r="C504" s="92"/>
      <c r="D504" s="93"/>
      <c r="E504" s="95"/>
      <c r="F504" s="51" t="s">
        <v>6</v>
      </c>
      <c r="G504" s="52" t="s">
        <v>7</v>
      </c>
      <c r="H504" s="51" t="s">
        <v>6</v>
      </c>
      <c r="I504" s="52" t="s">
        <v>7</v>
      </c>
      <c r="K504" s="10"/>
      <c r="L504" s="10"/>
    </row>
    <row r="505" spans="2:12" ht="12.95" customHeight="1" x14ac:dyDescent="0.3">
      <c r="B505" s="11" t="s">
        <v>75</v>
      </c>
      <c r="C505" s="6"/>
      <c r="D505" s="49" t="s">
        <v>45</v>
      </c>
      <c r="E505" s="50">
        <v>0</v>
      </c>
      <c r="F505" s="27">
        <v>1.1000000000000001</v>
      </c>
      <c r="G505" s="7">
        <f t="shared" ref="G505:G509" si="100">TRUNC($E505*F505,1)</f>
        <v>0</v>
      </c>
      <c r="H505" s="27">
        <v>0</v>
      </c>
      <c r="I505" s="7">
        <f t="shared" ref="I505:I509" si="101">TRUNC($E505*H505,1)</f>
        <v>0</v>
      </c>
      <c r="K505" s="10"/>
      <c r="L505" s="10"/>
    </row>
    <row r="506" spans="2:12" ht="12.95" customHeight="1" x14ac:dyDescent="0.3">
      <c r="B506" s="11" t="s">
        <v>27</v>
      </c>
      <c r="C506" s="6"/>
      <c r="D506" s="49" t="s">
        <v>57</v>
      </c>
      <c r="E506" s="50">
        <v>0</v>
      </c>
      <c r="F506" s="27">
        <v>3.84</v>
      </c>
      <c r="G506" s="7">
        <f t="shared" si="100"/>
        <v>0</v>
      </c>
      <c r="H506" s="27">
        <v>1.6</v>
      </c>
      <c r="I506" s="7">
        <f t="shared" si="101"/>
        <v>0</v>
      </c>
      <c r="K506" s="10"/>
      <c r="L506" s="10"/>
    </row>
    <row r="507" spans="2:12" ht="12.95" customHeight="1" x14ac:dyDescent="0.3">
      <c r="B507" s="11" t="s">
        <v>76</v>
      </c>
      <c r="C507" s="6"/>
      <c r="D507" s="49" t="s">
        <v>57</v>
      </c>
      <c r="E507" s="50">
        <v>0</v>
      </c>
      <c r="F507" s="27">
        <v>3.84</v>
      </c>
      <c r="G507" s="7">
        <f t="shared" si="100"/>
        <v>0</v>
      </c>
      <c r="H507" s="27">
        <v>1.6</v>
      </c>
      <c r="I507" s="7">
        <f t="shared" si="101"/>
        <v>0</v>
      </c>
      <c r="K507" s="10"/>
      <c r="L507" s="10"/>
    </row>
    <row r="508" spans="2:12" ht="12.95" customHeight="1" x14ac:dyDescent="0.3">
      <c r="B508" s="11" t="s">
        <v>77</v>
      </c>
      <c r="C508" s="6"/>
      <c r="D508" s="49" t="s">
        <v>45</v>
      </c>
      <c r="E508" s="50">
        <v>0</v>
      </c>
      <c r="F508" s="27">
        <v>1.44</v>
      </c>
      <c r="G508" s="7">
        <f t="shared" si="100"/>
        <v>0</v>
      </c>
      <c r="H508" s="27">
        <v>0</v>
      </c>
      <c r="I508" s="7">
        <f t="shared" si="101"/>
        <v>0</v>
      </c>
      <c r="K508" s="10"/>
      <c r="L508" s="10"/>
    </row>
    <row r="509" spans="2:12" ht="12.95" customHeight="1" x14ac:dyDescent="0.3">
      <c r="B509" s="11" t="s">
        <v>78</v>
      </c>
      <c r="C509" s="6"/>
      <c r="D509" s="49" t="s">
        <v>45</v>
      </c>
      <c r="E509" s="50">
        <v>0</v>
      </c>
      <c r="F509" s="27">
        <v>0</v>
      </c>
      <c r="G509" s="7">
        <f t="shared" si="100"/>
        <v>0</v>
      </c>
      <c r="H509" s="27">
        <v>1.21</v>
      </c>
      <c r="I509" s="7">
        <f t="shared" si="101"/>
        <v>0</v>
      </c>
      <c r="K509" s="10"/>
      <c r="L509" s="10"/>
    </row>
    <row r="510" spans="2:12" ht="12.95" customHeight="1" x14ac:dyDescent="0.3">
      <c r="B510" s="20" t="s">
        <v>11</v>
      </c>
      <c r="C510" s="23"/>
      <c r="D510" s="22"/>
      <c r="E510" s="21"/>
      <c r="F510" s="27"/>
      <c r="G510" s="19">
        <f>TRUNC(SUM(G505:G509))</f>
        <v>0</v>
      </c>
      <c r="H510" s="27"/>
      <c r="I510" s="19">
        <f>TRUNC(SUM(I505:I509))</f>
        <v>0</v>
      </c>
      <c r="K510" s="10"/>
      <c r="L510" s="10"/>
    </row>
    <row r="511" spans="2:12" ht="12.95" customHeight="1" x14ac:dyDescent="0.3">
      <c r="B511" s="35"/>
      <c r="C511" s="36"/>
      <c r="D511" s="36"/>
      <c r="E511" s="44"/>
      <c r="F511" s="46"/>
      <c r="G511" s="30"/>
      <c r="H511" s="46"/>
      <c r="I511" s="30"/>
      <c r="K511" s="10"/>
      <c r="L511" s="10"/>
    </row>
    <row r="512" spans="2:12" ht="12.95" customHeight="1" x14ac:dyDescent="0.3">
      <c r="B512" s="15" t="s">
        <v>14</v>
      </c>
      <c r="C512" s="37"/>
      <c r="D512" s="37"/>
      <c r="E512" s="33"/>
      <c r="F512" s="33"/>
      <c r="G512" s="34">
        <f>SUM(G510)</f>
        <v>0</v>
      </c>
      <c r="H512" s="33"/>
      <c r="I512" s="34">
        <f>SUM(I510)</f>
        <v>0</v>
      </c>
      <c r="K512" s="10"/>
      <c r="L512" s="10"/>
    </row>
    <row r="513" spans="11:12" ht="12.95" customHeight="1" x14ac:dyDescent="0.3">
      <c r="K513" s="10"/>
      <c r="L513" s="10"/>
    </row>
  </sheetData>
  <mergeCells count="290">
    <mergeCell ref="J75:K75"/>
    <mergeCell ref="B278:B279"/>
    <mergeCell ref="C278:C279"/>
    <mergeCell ref="D278:D279"/>
    <mergeCell ref="E278:E279"/>
    <mergeCell ref="B503:B504"/>
    <mergeCell ref="C503:C504"/>
    <mergeCell ref="D503:D504"/>
    <mergeCell ref="E503:E504"/>
    <mergeCell ref="F503:G503"/>
    <mergeCell ref="H503:I503"/>
    <mergeCell ref="J481:K481"/>
    <mergeCell ref="B494:B495"/>
    <mergeCell ref="C494:C495"/>
    <mergeCell ref="D494:D495"/>
    <mergeCell ref="E494:E495"/>
    <mergeCell ref="F494:F495"/>
    <mergeCell ref="G494:G495"/>
    <mergeCell ref="B481:B482"/>
    <mergeCell ref="C481:C482"/>
    <mergeCell ref="D481:D482"/>
    <mergeCell ref="E481:E482"/>
    <mergeCell ref="F481:G481"/>
    <mergeCell ref="H481:I481"/>
    <mergeCell ref="B463:B464"/>
    <mergeCell ref="C463:C464"/>
    <mergeCell ref="D463:D464"/>
    <mergeCell ref="E463:E464"/>
    <mergeCell ref="F463:G463"/>
    <mergeCell ref="H463:I463"/>
    <mergeCell ref="B453:B454"/>
    <mergeCell ref="C453:C454"/>
    <mergeCell ref="D453:D454"/>
    <mergeCell ref="E453:E454"/>
    <mergeCell ref="F453:F454"/>
    <mergeCell ref="G453:G454"/>
    <mergeCell ref="B441:B444"/>
    <mergeCell ref="C441:C444"/>
    <mergeCell ref="D441:D444"/>
    <mergeCell ref="E441:E444"/>
    <mergeCell ref="F441:M441"/>
    <mergeCell ref="F442:G442"/>
    <mergeCell ref="H442:I442"/>
    <mergeCell ref="J442:K442"/>
    <mergeCell ref="L442:M442"/>
    <mergeCell ref="B433:B434"/>
    <mergeCell ref="C433:C434"/>
    <mergeCell ref="D433:D434"/>
    <mergeCell ref="E433:E434"/>
    <mergeCell ref="F433:F434"/>
    <mergeCell ref="G433:G434"/>
    <mergeCell ref="B418:B421"/>
    <mergeCell ref="C418:C421"/>
    <mergeCell ref="D418:D421"/>
    <mergeCell ref="E418:E421"/>
    <mergeCell ref="F418:M418"/>
    <mergeCell ref="F419:G419"/>
    <mergeCell ref="H419:I419"/>
    <mergeCell ref="J419:K419"/>
    <mergeCell ref="L419:M419"/>
    <mergeCell ref="B406:B409"/>
    <mergeCell ref="C406:C409"/>
    <mergeCell ref="D406:D409"/>
    <mergeCell ref="E406:E409"/>
    <mergeCell ref="F406:M406"/>
    <mergeCell ref="F407:G407"/>
    <mergeCell ref="H407:I407"/>
    <mergeCell ref="J407:K407"/>
    <mergeCell ref="L407:M407"/>
    <mergeCell ref="B396:B399"/>
    <mergeCell ref="C396:C399"/>
    <mergeCell ref="D396:D399"/>
    <mergeCell ref="E396:E399"/>
    <mergeCell ref="F396:M396"/>
    <mergeCell ref="F397:G397"/>
    <mergeCell ref="H397:I397"/>
    <mergeCell ref="J397:K397"/>
    <mergeCell ref="L397:M397"/>
    <mergeCell ref="B386:B387"/>
    <mergeCell ref="C386:C387"/>
    <mergeCell ref="D386:D387"/>
    <mergeCell ref="E386:E387"/>
    <mergeCell ref="F386:F387"/>
    <mergeCell ref="G386:G387"/>
    <mergeCell ref="B374:B377"/>
    <mergeCell ref="C374:C377"/>
    <mergeCell ref="D374:D377"/>
    <mergeCell ref="E374:E377"/>
    <mergeCell ref="F374:M374"/>
    <mergeCell ref="F375:G375"/>
    <mergeCell ref="H375:I375"/>
    <mergeCell ref="J375:K375"/>
    <mergeCell ref="L375:M375"/>
    <mergeCell ref="B366:B367"/>
    <mergeCell ref="C366:C367"/>
    <mergeCell ref="D366:D367"/>
    <mergeCell ref="E366:E367"/>
    <mergeCell ref="F366:F367"/>
    <mergeCell ref="G366:G367"/>
    <mergeCell ref="B354:B357"/>
    <mergeCell ref="C354:C357"/>
    <mergeCell ref="D354:D357"/>
    <mergeCell ref="E354:E357"/>
    <mergeCell ref="F354:M354"/>
    <mergeCell ref="F355:G355"/>
    <mergeCell ref="H355:I355"/>
    <mergeCell ref="J355:K355"/>
    <mergeCell ref="L355:M355"/>
    <mergeCell ref="B344:B347"/>
    <mergeCell ref="C344:C347"/>
    <mergeCell ref="D344:D347"/>
    <mergeCell ref="E344:E347"/>
    <mergeCell ref="F344:M344"/>
    <mergeCell ref="F345:G345"/>
    <mergeCell ref="H345:I345"/>
    <mergeCell ref="J345:K345"/>
    <mergeCell ref="L345:M345"/>
    <mergeCell ref="B335:B336"/>
    <mergeCell ref="C335:C336"/>
    <mergeCell ref="D335:D336"/>
    <mergeCell ref="E335:E336"/>
    <mergeCell ref="F335:F336"/>
    <mergeCell ref="G335:G336"/>
    <mergeCell ref="B323:B326"/>
    <mergeCell ref="C323:C326"/>
    <mergeCell ref="D323:D326"/>
    <mergeCell ref="E323:E326"/>
    <mergeCell ref="F323:M323"/>
    <mergeCell ref="F324:G324"/>
    <mergeCell ref="H324:I324"/>
    <mergeCell ref="J324:K324"/>
    <mergeCell ref="L324:M324"/>
    <mergeCell ref="B313:B316"/>
    <mergeCell ref="C313:C316"/>
    <mergeCell ref="D313:D316"/>
    <mergeCell ref="E313:E316"/>
    <mergeCell ref="F313:M313"/>
    <mergeCell ref="F314:G314"/>
    <mergeCell ref="H314:I314"/>
    <mergeCell ref="J314:K314"/>
    <mergeCell ref="L314:M314"/>
    <mergeCell ref="B304:B305"/>
    <mergeCell ref="C304:C305"/>
    <mergeCell ref="D304:D305"/>
    <mergeCell ref="E304:E305"/>
    <mergeCell ref="F304:F305"/>
    <mergeCell ref="G304:G305"/>
    <mergeCell ref="B292:B295"/>
    <mergeCell ref="C292:C295"/>
    <mergeCell ref="D292:D295"/>
    <mergeCell ref="E292:E295"/>
    <mergeCell ref="F292:M292"/>
    <mergeCell ref="F293:G293"/>
    <mergeCell ref="H293:I293"/>
    <mergeCell ref="J293:K293"/>
    <mergeCell ref="L293:M293"/>
    <mergeCell ref="B268:B269"/>
    <mergeCell ref="C268:C269"/>
    <mergeCell ref="D268:D269"/>
    <mergeCell ref="E268:E269"/>
    <mergeCell ref="F268:G268"/>
    <mergeCell ref="H268:I268"/>
    <mergeCell ref="B257:B259"/>
    <mergeCell ref="C257:C259"/>
    <mergeCell ref="D257:D259"/>
    <mergeCell ref="E257:E259"/>
    <mergeCell ref="F257:G257"/>
    <mergeCell ref="H257:I257"/>
    <mergeCell ref="B245:B246"/>
    <mergeCell ref="C245:C246"/>
    <mergeCell ref="D245:D246"/>
    <mergeCell ref="E245:E246"/>
    <mergeCell ref="F245:F246"/>
    <mergeCell ref="G245:G246"/>
    <mergeCell ref="J218:K218"/>
    <mergeCell ref="B233:B234"/>
    <mergeCell ref="C233:C234"/>
    <mergeCell ref="D233:D234"/>
    <mergeCell ref="E233:E234"/>
    <mergeCell ref="F233:G233"/>
    <mergeCell ref="H233:I233"/>
    <mergeCell ref="J233:K233"/>
    <mergeCell ref="B218:B220"/>
    <mergeCell ref="C218:C220"/>
    <mergeCell ref="D218:D220"/>
    <mergeCell ref="E218:E220"/>
    <mergeCell ref="F218:G218"/>
    <mergeCell ref="H218:I218"/>
    <mergeCell ref="B208:B209"/>
    <mergeCell ref="C208:C209"/>
    <mergeCell ref="D208:D209"/>
    <mergeCell ref="E208:E209"/>
    <mergeCell ref="F208:F209"/>
    <mergeCell ref="G208:G209"/>
    <mergeCell ref="H167:I167"/>
    <mergeCell ref="B186:B187"/>
    <mergeCell ref="C186:C187"/>
    <mergeCell ref="D186:D187"/>
    <mergeCell ref="E186:E187"/>
    <mergeCell ref="B195:B196"/>
    <mergeCell ref="C195:C196"/>
    <mergeCell ref="D195:D196"/>
    <mergeCell ref="E195:E196"/>
    <mergeCell ref="F159:F160"/>
    <mergeCell ref="G159:G160"/>
    <mergeCell ref="B167:B169"/>
    <mergeCell ref="C167:C169"/>
    <mergeCell ref="D167:D169"/>
    <mergeCell ref="E167:E169"/>
    <mergeCell ref="F167:G167"/>
    <mergeCell ref="B146:B147"/>
    <mergeCell ref="C146:C147"/>
    <mergeCell ref="D146:D147"/>
    <mergeCell ref="E146:E147"/>
    <mergeCell ref="B159:B160"/>
    <mergeCell ref="C159:C160"/>
    <mergeCell ref="D159:D160"/>
    <mergeCell ref="E159:E160"/>
    <mergeCell ref="D61:D63"/>
    <mergeCell ref="E61:E63"/>
    <mergeCell ref="J117:K117"/>
    <mergeCell ref="B132:B134"/>
    <mergeCell ref="C132:C134"/>
    <mergeCell ref="D132:D134"/>
    <mergeCell ref="E132:E134"/>
    <mergeCell ref="F132:G132"/>
    <mergeCell ref="H132:I132"/>
    <mergeCell ref="J132:K132"/>
    <mergeCell ref="F103:G103"/>
    <mergeCell ref="H103:I103"/>
    <mergeCell ref="B117:B119"/>
    <mergeCell ref="C117:C119"/>
    <mergeCell ref="D117:D119"/>
    <mergeCell ref="E117:E119"/>
    <mergeCell ref="F117:G117"/>
    <mergeCell ref="H117:I117"/>
    <mergeCell ref="B75:B77"/>
    <mergeCell ref="C75:C77"/>
    <mergeCell ref="D75:D77"/>
    <mergeCell ref="E75:E77"/>
    <mergeCell ref="F75:G75"/>
    <mergeCell ref="H75:I75"/>
    <mergeCell ref="B4:B7"/>
    <mergeCell ref="C4:C7"/>
    <mergeCell ref="D4:D7"/>
    <mergeCell ref="E4:E7"/>
    <mergeCell ref="F4:G5"/>
    <mergeCell ref="H4:K4"/>
    <mergeCell ref="H5:I5"/>
    <mergeCell ref="J5:K5"/>
    <mergeCell ref="F61:G61"/>
    <mergeCell ref="H61:I61"/>
    <mergeCell ref="F38:F39"/>
    <mergeCell ref="G38:G39"/>
    <mergeCell ref="B48:B49"/>
    <mergeCell ref="C48:C49"/>
    <mergeCell ref="D48:D49"/>
    <mergeCell ref="E48:E49"/>
    <mergeCell ref="B25:B26"/>
    <mergeCell ref="C25:C26"/>
    <mergeCell ref="D25:D26"/>
    <mergeCell ref="E25:E26"/>
    <mergeCell ref="B38:B39"/>
    <mergeCell ref="C38:C39"/>
    <mergeCell ref="D38:D39"/>
    <mergeCell ref="E38:E39"/>
    <mergeCell ref="B472:B473"/>
    <mergeCell ref="C472:C473"/>
    <mergeCell ref="D472:D473"/>
    <mergeCell ref="E472:E473"/>
    <mergeCell ref="F472:G472"/>
    <mergeCell ref="H472:I472"/>
    <mergeCell ref="B16:B18"/>
    <mergeCell ref="C16:C18"/>
    <mergeCell ref="D16:D18"/>
    <mergeCell ref="E16:E18"/>
    <mergeCell ref="F16:G17"/>
    <mergeCell ref="H16:K16"/>
    <mergeCell ref="H17:I17"/>
    <mergeCell ref="J17:K17"/>
    <mergeCell ref="B90:B91"/>
    <mergeCell ref="C90:C91"/>
    <mergeCell ref="D90:D91"/>
    <mergeCell ref="E90:E91"/>
    <mergeCell ref="B103:B105"/>
    <mergeCell ref="C103:C105"/>
    <mergeCell ref="D103:D105"/>
    <mergeCell ref="E103:E105"/>
    <mergeCell ref="B61:B63"/>
    <mergeCell ref="C61:C63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수장공사(상반기)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2026-01-01T08:03:57Z</dcterms:modified>
</cp:coreProperties>
</file>